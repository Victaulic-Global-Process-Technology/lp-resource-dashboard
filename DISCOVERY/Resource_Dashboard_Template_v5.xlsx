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victaulic-my.sharepoint.com/personal/bsloan_victaulic_com/Documents/Desktop/"/>
    </mc:Choice>
  </mc:AlternateContent>
  <xr:revisionPtr revIDLastSave="3" documentId="8_{63AB1699-CE17-4C0A-9EB3-CE0663DE41C3}" xr6:coauthVersionLast="47" xr6:coauthVersionMax="47" xr10:uidLastSave="{4239150B-AD72-4FE1-8B5E-17D76E20CC0E}"/>
  <bookViews>
    <workbookView xWindow="-120" yWindow="-120" windowWidth="29040" windowHeight="17520" firstSheet="4" activeTab="4" xr2:uid="{00000000-000D-0000-FFFF-FFFF00000000}"/>
  </bookViews>
  <sheets>
    <sheet name="README" sheetId="1" r:id="rId1"/>
    <sheet name="Months" sheetId="2" r:id="rId2"/>
    <sheet name="Projects" sheetId="3" r:id="rId3"/>
    <sheet name="Engineers" sheetId="4" r:id="rId4"/>
    <sheet name="Skills" sheetId="5" r:id="rId5"/>
    <sheet name="Milestones" sheetId="6" r:id="rId6"/>
    <sheet name="Planned_ProjectMonth" sheetId="7" r:id="rId7"/>
    <sheet name="Planned_Allocations" sheetId="8" r:id="rId8"/>
    <sheet name="Actual_Hours" sheetId="9" r:id="rId9"/>
    <sheet name="Lab_Tech_Hours" sheetId="10" r:id="rId10"/>
    <sheet name="Params" sheetId="11" r:id="rId11"/>
    <sheet name="Calc" sheetId="12" r:id="rId12"/>
    <sheet name="Dashboard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" i="13" l="1"/>
  <c r="D63" i="13"/>
  <c r="C63" i="13"/>
  <c r="B63" i="13"/>
  <c r="E62" i="13"/>
  <c r="D62" i="13"/>
  <c r="C62" i="13"/>
  <c r="B62" i="13"/>
  <c r="E61" i="13"/>
  <c r="D61" i="13"/>
  <c r="C61" i="13"/>
  <c r="B61" i="13"/>
  <c r="E60" i="13"/>
  <c r="D60" i="13"/>
  <c r="C60" i="13"/>
  <c r="B60" i="13"/>
  <c r="E59" i="13"/>
  <c r="D59" i="13"/>
  <c r="C59" i="13"/>
  <c r="B59" i="13"/>
  <c r="E58" i="13"/>
  <c r="D58" i="13"/>
  <c r="C58" i="13"/>
  <c r="B58" i="13"/>
  <c r="E57" i="13"/>
  <c r="D57" i="13"/>
  <c r="C57" i="13"/>
  <c r="B57" i="13"/>
  <c r="E56" i="13"/>
  <c r="D56" i="13"/>
  <c r="C56" i="13"/>
  <c r="B56" i="13"/>
  <c r="E55" i="13"/>
  <c r="D55" i="13"/>
  <c r="C55" i="13"/>
  <c r="B55" i="13"/>
  <c r="E54" i="13"/>
  <c r="D54" i="13"/>
  <c r="C54" i="13"/>
  <c r="B54" i="13"/>
  <c r="E53" i="13"/>
  <c r="D53" i="13"/>
  <c r="C53" i="13"/>
  <c r="B53" i="13"/>
  <c r="E52" i="13"/>
  <c r="D52" i="13"/>
  <c r="C52" i="13"/>
  <c r="B5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C192" i="12"/>
  <c r="D191" i="12"/>
  <c r="C191" i="12"/>
  <c r="D190" i="12"/>
  <c r="D189" i="12"/>
  <c r="C188" i="12"/>
  <c r="B188" i="12"/>
  <c r="D185" i="12"/>
  <c r="D183" i="12"/>
  <c r="C183" i="12"/>
  <c r="D182" i="12"/>
  <c r="B182" i="12"/>
  <c r="C180" i="12"/>
  <c r="D179" i="12"/>
  <c r="C179" i="12"/>
  <c r="D178" i="12"/>
  <c r="D177" i="12"/>
  <c r="C176" i="12"/>
  <c r="B176" i="12"/>
  <c r="D173" i="12"/>
  <c r="E165" i="12"/>
  <c r="D165" i="12"/>
  <c r="C165" i="12"/>
  <c r="B165" i="12"/>
  <c r="E164" i="12"/>
  <c r="D164" i="12"/>
  <c r="C164" i="12"/>
  <c r="B164" i="12"/>
  <c r="E163" i="12"/>
  <c r="D163" i="12"/>
  <c r="C163" i="12"/>
  <c r="B163" i="12"/>
  <c r="E162" i="12"/>
  <c r="D162" i="12"/>
  <c r="C162" i="12"/>
  <c r="B162" i="12"/>
  <c r="E161" i="12"/>
  <c r="D161" i="12"/>
  <c r="C161" i="12"/>
  <c r="B161" i="12"/>
  <c r="E160" i="12"/>
  <c r="D160" i="12"/>
  <c r="C160" i="12"/>
  <c r="B160" i="12"/>
  <c r="E159" i="12"/>
  <c r="D159" i="12"/>
  <c r="C159" i="12"/>
  <c r="B159" i="12"/>
  <c r="E158" i="12"/>
  <c r="D158" i="12"/>
  <c r="C158" i="12"/>
  <c r="B158" i="12"/>
  <c r="E157" i="12"/>
  <c r="D157" i="12"/>
  <c r="C157" i="12"/>
  <c r="B157" i="12"/>
  <c r="E156" i="12"/>
  <c r="D156" i="12"/>
  <c r="C156" i="12"/>
  <c r="B156" i="12"/>
  <c r="E155" i="12"/>
  <c r="D155" i="12"/>
  <c r="C155" i="12"/>
  <c r="B155" i="12"/>
  <c r="E154" i="12"/>
  <c r="D154" i="12"/>
  <c r="C154" i="12"/>
  <c r="B154" i="12"/>
  <c r="C143" i="12"/>
  <c r="C141" i="12"/>
  <c r="C131" i="12"/>
  <c r="C129" i="12"/>
  <c r="C119" i="12"/>
  <c r="C117" i="12"/>
  <c r="C107" i="12"/>
  <c r="C105" i="12"/>
  <c r="C95" i="12"/>
  <c r="C93" i="12"/>
  <c r="C83" i="12"/>
  <c r="C81" i="12"/>
  <c r="C71" i="12"/>
  <c r="C69" i="12"/>
  <c r="C59" i="12"/>
  <c r="C57" i="12"/>
  <c r="C47" i="12"/>
  <c r="C45" i="12"/>
  <c r="B33" i="12"/>
  <c r="B32" i="12"/>
  <c r="B27" i="12"/>
  <c r="B26" i="12"/>
  <c r="I18" i="12"/>
  <c r="H18" i="12"/>
  <c r="G18" i="12"/>
  <c r="D193" i="12" s="1"/>
  <c r="F18" i="12"/>
  <c r="C193" i="12" s="1"/>
  <c r="E18" i="12"/>
  <c r="B193" i="12" s="1"/>
  <c r="D18" i="12"/>
  <c r="D192" i="12" s="1"/>
  <c r="C18" i="12"/>
  <c r="B18" i="12"/>
  <c r="B192" i="12" s="1"/>
  <c r="I17" i="12"/>
  <c r="H17" i="12"/>
  <c r="G17" i="12"/>
  <c r="F17" i="12"/>
  <c r="E17" i="12"/>
  <c r="B191" i="12" s="1"/>
  <c r="D17" i="12"/>
  <c r="C17" i="12"/>
  <c r="C190" i="12" s="1"/>
  <c r="B17" i="12"/>
  <c r="B190" i="12" s="1"/>
  <c r="I16" i="12"/>
  <c r="H16" i="12"/>
  <c r="G16" i="12"/>
  <c r="F16" i="12"/>
  <c r="C189" i="12" s="1"/>
  <c r="E16" i="12"/>
  <c r="B189" i="12" s="1"/>
  <c r="D16" i="12"/>
  <c r="D188" i="12" s="1"/>
  <c r="C16" i="12"/>
  <c r="B16" i="12"/>
  <c r="I15" i="12"/>
  <c r="H15" i="12"/>
  <c r="G15" i="12"/>
  <c r="D187" i="12" s="1"/>
  <c r="F15" i="12"/>
  <c r="C187" i="12" s="1"/>
  <c r="E15" i="12"/>
  <c r="B187" i="12" s="1"/>
  <c r="D15" i="12"/>
  <c r="D186" i="12" s="1"/>
  <c r="C15" i="12"/>
  <c r="C186" i="12" s="1"/>
  <c r="B15" i="12"/>
  <c r="B186" i="12" s="1"/>
  <c r="I14" i="12"/>
  <c r="H14" i="12"/>
  <c r="G14" i="12"/>
  <c r="F14" i="12"/>
  <c r="C185" i="12" s="1"/>
  <c r="E14" i="12"/>
  <c r="B185" i="12" s="1"/>
  <c r="D14" i="12"/>
  <c r="D184" i="12" s="1"/>
  <c r="C14" i="12"/>
  <c r="C184" i="12" s="1"/>
  <c r="B14" i="12"/>
  <c r="B184" i="12" s="1"/>
  <c r="I13" i="12"/>
  <c r="H13" i="12"/>
  <c r="G13" i="12"/>
  <c r="F13" i="12"/>
  <c r="E13" i="12"/>
  <c r="B183" i="12" s="1"/>
  <c r="D13" i="12"/>
  <c r="C13" i="12"/>
  <c r="C182" i="12" s="1"/>
  <c r="B13" i="12"/>
  <c r="I12" i="12"/>
  <c r="H12" i="12"/>
  <c r="G12" i="12"/>
  <c r="D181" i="12" s="1"/>
  <c r="F12" i="12"/>
  <c r="C181" i="12" s="1"/>
  <c r="E12" i="12"/>
  <c r="B181" i="12" s="1"/>
  <c r="D12" i="12"/>
  <c r="D180" i="12" s="1"/>
  <c r="C12" i="12"/>
  <c r="B12" i="12"/>
  <c r="B180" i="12" s="1"/>
  <c r="I11" i="12"/>
  <c r="H11" i="12"/>
  <c r="G11" i="12"/>
  <c r="F11" i="12"/>
  <c r="E11" i="12"/>
  <c r="B179" i="12" s="1"/>
  <c r="D11" i="12"/>
  <c r="C11" i="12"/>
  <c r="C178" i="12" s="1"/>
  <c r="B11" i="12"/>
  <c r="B178" i="12" s="1"/>
  <c r="I10" i="12"/>
  <c r="H10" i="12"/>
  <c r="G10" i="12"/>
  <c r="F10" i="12"/>
  <c r="C177" i="12" s="1"/>
  <c r="E10" i="12"/>
  <c r="B177" i="12" s="1"/>
  <c r="D10" i="12"/>
  <c r="D176" i="12" s="1"/>
  <c r="C10" i="12"/>
  <c r="B10" i="12"/>
  <c r="I9" i="12"/>
  <c r="H9" i="12"/>
  <c r="G9" i="12"/>
  <c r="D175" i="12" s="1"/>
  <c r="F9" i="12"/>
  <c r="C175" i="12" s="1"/>
  <c r="E9" i="12"/>
  <c r="B175" i="12" s="1"/>
  <c r="D9" i="12"/>
  <c r="D174" i="12" s="1"/>
  <c r="C9" i="12"/>
  <c r="C174" i="12" s="1"/>
  <c r="B9" i="12"/>
  <c r="B174" i="12" s="1"/>
  <c r="I8" i="12"/>
  <c r="H8" i="12"/>
  <c r="G8" i="12"/>
  <c r="F8" i="12"/>
  <c r="C173" i="12" s="1"/>
  <c r="E8" i="12"/>
  <c r="B173" i="12" s="1"/>
  <c r="D8" i="12"/>
  <c r="D172" i="12" s="1"/>
  <c r="C8" i="12"/>
  <c r="C172" i="12" s="1"/>
  <c r="B8" i="12"/>
  <c r="B172" i="12" s="1"/>
  <c r="I7" i="12"/>
  <c r="E3" i="12"/>
  <c r="B29" i="12" s="1"/>
  <c r="B3" i="12"/>
  <c r="C147" i="12" s="1"/>
  <c r="E48" i="9"/>
  <c r="D48" i="9"/>
  <c r="E47" i="9"/>
  <c r="D47" i="9"/>
  <c r="E46" i="9"/>
  <c r="D46" i="9"/>
  <c r="E45" i="9"/>
  <c r="D45" i="9"/>
  <c r="E44" i="9"/>
  <c r="D44" i="9"/>
  <c r="E43" i="9"/>
  <c r="D43" i="9"/>
  <c r="E42" i="9"/>
  <c r="D42" i="9"/>
  <c r="E41" i="9"/>
  <c r="D41" i="9"/>
  <c r="E40" i="9"/>
  <c r="D40" i="9"/>
  <c r="E39" i="9"/>
  <c r="D39" i="9"/>
  <c r="E38" i="9"/>
  <c r="D38" i="9"/>
  <c r="E37" i="9"/>
  <c r="D37" i="9"/>
  <c r="E36" i="9"/>
  <c r="D36" i="9"/>
  <c r="E35" i="9"/>
  <c r="D35" i="9"/>
  <c r="E34" i="9"/>
  <c r="D34" i="9"/>
  <c r="E33" i="9"/>
  <c r="D33" i="9"/>
  <c r="E32" i="9"/>
  <c r="D32" i="9"/>
  <c r="E31" i="9"/>
  <c r="D31" i="9"/>
  <c r="E30" i="9"/>
  <c r="D30" i="9"/>
  <c r="E29" i="9"/>
  <c r="D29" i="9"/>
  <c r="E28" i="9"/>
  <c r="D28" i="9"/>
  <c r="E27" i="9"/>
  <c r="D27" i="9"/>
  <c r="E26" i="9"/>
  <c r="D26" i="9"/>
  <c r="E25" i="9"/>
  <c r="D25" i="9"/>
  <c r="E24" i="9"/>
  <c r="D24" i="9"/>
  <c r="E23" i="9"/>
  <c r="D23" i="9"/>
  <c r="E22" i="9"/>
  <c r="D22" i="9"/>
  <c r="E21" i="9"/>
  <c r="D21" i="9"/>
  <c r="E20" i="9"/>
  <c r="D20" i="9"/>
  <c r="E19" i="9"/>
  <c r="D19" i="9"/>
  <c r="E18" i="9"/>
  <c r="D18" i="9"/>
  <c r="E17" i="9"/>
  <c r="D17" i="9"/>
  <c r="E16" i="9"/>
  <c r="D16" i="9"/>
  <c r="E15" i="9"/>
  <c r="D15" i="9"/>
  <c r="E14" i="9"/>
  <c r="D14" i="9"/>
  <c r="E13" i="9"/>
  <c r="D13" i="9"/>
  <c r="E12" i="9"/>
  <c r="D12" i="9"/>
  <c r="E11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H7" i="12" s="1"/>
  <c r="E4" i="9"/>
  <c r="D4" i="9"/>
  <c r="E3" i="9"/>
  <c r="C201" i="12" s="1"/>
  <c r="D3" i="9"/>
  <c r="E2" i="9"/>
  <c r="C200" i="12" s="1"/>
  <c r="D2" i="9"/>
  <c r="G7" i="12" s="1"/>
  <c r="D171" i="12" s="1"/>
  <c r="E16" i="8"/>
  <c r="E15" i="8"/>
  <c r="E14" i="8"/>
  <c r="E13" i="8"/>
  <c r="E12" i="8"/>
  <c r="E11" i="8"/>
  <c r="B199" i="12" s="1"/>
  <c r="E10" i="8"/>
  <c r="E9" i="8"/>
  <c r="E8" i="8"/>
  <c r="B200" i="12" s="1"/>
  <c r="E7" i="8"/>
  <c r="E6" i="8"/>
  <c r="E5" i="8"/>
  <c r="E4" i="8"/>
  <c r="E3" i="8"/>
  <c r="E2" i="8"/>
  <c r="B202" i="12" s="1"/>
  <c r="C50" i="12" l="1"/>
  <c r="C86" i="12"/>
  <c r="C110" i="12"/>
  <c r="C146" i="12"/>
  <c r="C7" i="12"/>
  <c r="C170" i="12" s="1"/>
  <c r="C23" i="12"/>
  <c r="C29" i="12"/>
  <c r="C40" i="12"/>
  <c r="C52" i="12"/>
  <c r="C64" i="12"/>
  <c r="C76" i="12"/>
  <c r="C88" i="12"/>
  <c r="C100" i="12"/>
  <c r="C112" i="12"/>
  <c r="C124" i="12"/>
  <c r="C136" i="12"/>
  <c r="C148" i="12"/>
  <c r="C202" i="12"/>
  <c r="C28" i="12"/>
  <c r="C62" i="12"/>
  <c r="C98" i="12"/>
  <c r="C134" i="12"/>
  <c r="D7" i="12"/>
  <c r="D170" i="12" s="1"/>
  <c r="B24" i="12"/>
  <c r="B30" i="12"/>
  <c r="C41" i="12"/>
  <c r="C53" i="12"/>
  <c r="C65" i="12"/>
  <c r="C77" i="12"/>
  <c r="C89" i="12"/>
  <c r="C101" i="12"/>
  <c r="C113" i="12"/>
  <c r="C125" i="12"/>
  <c r="C137" i="12"/>
  <c r="C149" i="12"/>
  <c r="B203" i="12"/>
  <c r="E7" i="12"/>
  <c r="B171" i="12" s="1"/>
  <c r="C24" i="12"/>
  <c r="C30" i="12"/>
  <c r="C42" i="12"/>
  <c r="C54" i="12"/>
  <c r="C66" i="12"/>
  <c r="C78" i="12"/>
  <c r="C90" i="12"/>
  <c r="C102" i="12"/>
  <c r="C114" i="12"/>
  <c r="C126" i="12"/>
  <c r="C138" i="12"/>
  <c r="C150" i="12"/>
  <c r="C203" i="12"/>
  <c r="B31" i="12"/>
  <c r="C55" i="12"/>
  <c r="C79" i="12"/>
  <c r="C103" i="12"/>
  <c r="C127" i="12"/>
  <c r="F7" i="12"/>
  <c r="C171" i="12" s="1"/>
  <c r="B25" i="12"/>
  <c r="C43" i="12"/>
  <c r="C67" i="12"/>
  <c r="C91" i="12"/>
  <c r="C115" i="12"/>
  <c r="C139" i="12"/>
  <c r="B198" i="12"/>
  <c r="C25" i="12"/>
  <c r="C31" i="12"/>
  <c r="C44" i="12"/>
  <c r="C56" i="12"/>
  <c r="C68" i="12"/>
  <c r="C80" i="12"/>
  <c r="C92" i="12"/>
  <c r="C104" i="12"/>
  <c r="C116" i="12"/>
  <c r="C128" i="12"/>
  <c r="C140" i="12"/>
  <c r="C198" i="12"/>
  <c r="C26" i="12"/>
  <c r="C32" i="12"/>
  <c r="C46" i="12"/>
  <c r="C58" i="12"/>
  <c r="C70" i="12"/>
  <c r="C82" i="12"/>
  <c r="C94" i="12"/>
  <c r="C106" i="12"/>
  <c r="C118" i="12"/>
  <c r="C130" i="12"/>
  <c r="C142" i="12"/>
  <c r="C199" i="12"/>
  <c r="C27" i="12"/>
  <c r="C33" i="12"/>
  <c r="C48" i="12"/>
  <c r="C60" i="12"/>
  <c r="C72" i="12"/>
  <c r="C84" i="12"/>
  <c r="C96" i="12"/>
  <c r="C108" i="12"/>
  <c r="C120" i="12"/>
  <c r="C132" i="12"/>
  <c r="C144" i="12"/>
  <c r="B28" i="12"/>
  <c r="B34" i="12"/>
  <c r="C49" i="12"/>
  <c r="C61" i="12"/>
  <c r="C73" i="12"/>
  <c r="C85" i="12"/>
  <c r="C97" i="12"/>
  <c r="C109" i="12"/>
  <c r="C121" i="12"/>
  <c r="C133" i="12"/>
  <c r="C145" i="12"/>
  <c r="B201" i="12"/>
  <c r="C34" i="12"/>
  <c r="C74" i="12"/>
  <c r="C122" i="12"/>
  <c r="B7" i="12"/>
  <c r="B170" i="12" s="1"/>
  <c r="B23" i="12"/>
  <c r="C39" i="12"/>
  <c r="C51" i="12"/>
  <c r="C63" i="12"/>
  <c r="C75" i="12"/>
  <c r="C87" i="12"/>
  <c r="C99" i="12"/>
  <c r="C111" i="12"/>
  <c r="C123" i="12"/>
  <c r="C135" i="12"/>
</calcChain>
</file>

<file path=xl/sharedStrings.xml><?xml version="1.0" encoding="utf-8"?>
<sst xmlns="http://schemas.openxmlformats.org/spreadsheetml/2006/main" count="523" uniqueCount="184">
  <si>
    <t>Resource &amp; Planning Dashboard Workbook (Template v2)</t>
  </si>
  <si>
    <t>Fill the input tabs (Projects, Engineers, Planned_ProjectMonth, Planned_Allocations, Actual_Hours, Skills, Lab_Tech_Hours, Milestones). Dashboard visuals update from those tables.</t>
  </si>
  <si>
    <t>Selectors: Use Params to choose SelectedMonth and SelectedProject. Optional: add Excel Form Control sliders and link them to Params cells.</t>
  </si>
  <si>
    <t>Month</t>
  </si>
  <si>
    <t>MonthIndex</t>
  </si>
  <si>
    <t>MonthLabel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</si>
  <si>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</si>
  <si>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</si>
  <si>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</si>
  <si>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</si>
  <si>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</si>
  <si>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</si>
  <si>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</si>
  <si>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</si>
  <si>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</si>
  <si>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</si>
  <si>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</si>
  <si>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</si>
  <si>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ProjectID</t>
  </si>
  <si>
    <t>ProjectName</t>
  </si>
  <si>
    <t>Type</t>
  </si>
  <si>
    <t>WorkClass</t>
  </si>
  <si>
    <t>R1337.1</t>
  </si>
  <si>
    <t>K4.0 Resi Concealed Sidewall</t>
  </si>
  <si>
    <t>NPD</t>
  </si>
  <si>
    <t>Planned</t>
  </si>
  <si>
    <t>R1337.3</t>
  </si>
  <si>
    <t>K5.6 Resi Concealed Sidewall</t>
  </si>
  <si>
    <t>R1337.2</t>
  </si>
  <si>
    <t>K8.0 Resi Concealed Sidewall ECLH</t>
  </si>
  <si>
    <t>R1430.1A</t>
  </si>
  <si>
    <t>K11.2 Low Profile In Rack Storage Sprinkler</t>
  </si>
  <si>
    <t>R1430.1B</t>
  </si>
  <si>
    <t>K8.0 Low Profile In Rack Storage Sprinkler</t>
  </si>
  <si>
    <t>R1430.1C</t>
  </si>
  <si>
    <t>K5.6 Low Profile In Rack Storage Sprinkler</t>
  </si>
  <si>
    <t>R1514.1</t>
  </si>
  <si>
    <t>K4.9 Resi Concealed Pendent</t>
  </si>
  <si>
    <t>R1514.2</t>
  </si>
  <si>
    <t>K3.0 Resi Concealed Pendent</t>
  </si>
  <si>
    <t>R1517</t>
  </si>
  <si>
    <t>K22/K25 ESFR High Pressure</t>
  </si>
  <si>
    <t>R1517.1</t>
  </si>
  <si>
    <t>K17 ESFR High Pressure</t>
  </si>
  <si>
    <t>R1518</t>
  </si>
  <si>
    <t>Universal Cleanroom</t>
  </si>
  <si>
    <t>R1527</t>
  </si>
  <si>
    <t>UL Listing for Vortex</t>
  </si>
  <si>
    <t>S0001</t>
  </si>
  <si>
    <t>V10 Spray Nozzle Kfactor Noncompliance</t>
  </si>
  <si>
    <t>Sustaining</t>
  </si>
  <si>
    <t>Unplanned/Firefighting</t>
  </si>
  <si>
    <t>S0057</t>
  </si>
  <si>
    <t>VicFlex Double Window VB5 Data Center Bracket</t>
  </si>
  <si>
    <t>S0013</t>
  </si>
  <si>
    <t>VicFlex AH1/AH2 Dual Sourced Crimp Nut</t>
  </si>
  <si>
    <t>S0062</t>
  </si>
  <si>
    <t>VTI 300 Bar Cylinder Valve</t>
  </si>
  <si>
    <t>R0999</t>
  </si>
  <si>
    <t>Out of Office (PTO/Holiday)</t>
  </si>
  <si>
    <t>Out of Office</t>
  </si>
  <si>
    <t>R0996</t>
  </si>
  <si>
    <t>Administrative Work</t>
  </si>
  <si>
    <t>Admin</t>
  </si>
  <si>
    <t>S0004</t>
  </si>
  <si>
    <t>Regulatory Support / Industry Committee Work</t>
  </si>
  <si>
    <t>R0992</t>
  </si>
  <si>
    <t>Applications / Sales Support</t>
  </si>
  <si>
    <t>S0002</t>
  </si>
  <si>
    <t>EP Support</t>
  </si>
  <si>
    <t>S0005</t>
  </si>
  <si>
    <t>Manufacturing Support</t>
  </si>
  <si>
    <t>R0991</t>
  </si>
  <si>
    <t>Lab 5S Support</t>
  </si>
  <si>
    <t>S0006</t>
  </si>
  <si>
    <t>Submittal Modifications</t>
  </si>
  <si>
    <t>S0082</t>
  </si>
  <si>
    <t>Vortex Sustaining</t>
  </si>
  <si>
    <t>General Sustaining Support</t>
  </si>
  <si>
    <t>R0751</t>
  </si>
  <si>
    <t>QA / PER Support</t>
  </si>
  <si>
    <t>S0008</t>
  </si>
  <si>
    <t>Drawing Maintenance</t>
  </si>
  <si>
    <t>S0003</t>
  </si>
  <si>
    <t>Reliability Growth (Green Belt, etc.)</t>
  </si>
  <si>
    <t>R0993</t>
  </si>
  <si>
    <t>Product Engineering Support</t>
  </si>
  <si>
    <t>Product Disruption</t>
  </si>
  <si>
    <t>R0997</t>
  </si>
  <si>
    <t>Training</t>
  </si>
  <si>
    <t>T1528</t>
  </si>
  <si>
    <t>V2603 Foam Nozzle</t>
  </si>
  <si>
    <t>Sprint</t>
  </si>
  <si>
    <t>Engineer</t>
  </si>
  <si>
    <t>CapacityOverrideHours</t>
  </si>
  <si>
    <t>Mike</t>
  </si>
  <si>
    <t>Karl</t>
  </si>
  <si>
    <t>Brian</t>
  </si>
  <si>
    <t>Hannah</t>
  </si>
  <si>
    <t>Marcelo</t>
  </si>
  <si>
    <t>Justin</t>
  </si>
  <si>
    <t>Aaron</t>
  </si>
  <si>
    <t>FEA</t>
  </si>
  <si>
    <t>CFD</t>
  </si>
  <si>
    <t>Deflector development</t>
  </si>
  <si>
    <t>VicFlex hose</t>
  </si>
  <si>
    <t>VicFlex bracket</t>
  </si>
  <si>
    <t>Vortex design</t>
  </si>
  <si>
    <t>Vortex operation</t>
  </si>
  <si>
    <t>Data acquisition</t>
  </si>
  <si>
    <t>Fire test protocols</t>
  </si>
  <si>
    <t>Failure / root cause analysis</t>
  </si>
  <si>
    <t>Statistical analysis</t>
  </si>
  <si>
    <t>Test fixture design</t>
  </si>
  <si>
    <t>Codes and standards</t>
  </si>
  <si>
    <t>Tolerance stackup</t>
  </si>
  <si>
    <t>DR1</t>
  </si>
  <si>
    <t>DR2</t>
  </si>
  <si>
    <t>DR3</t>
  </si>
  <si>
    <t>Launch</t>
  </si>
  <si>
    <t>TotalPlannedHours</t>
  </si>
  <si>
    <t>AllocationPct</t>
  </si>
  <si>
    <t>ProjectType</t>
  </si>
  <si>
    <t>PlannedHoursAllocated</t>
  </si>
  <si>
    <t>ActualHours</t>
  </si>
  <si>
    <t>LabTechHours</t>
  </si>
  <si>
    <t>Parameter</t>
  </si>
  <si>
    <t>Value</t>
  </si>
  <si>
    <t>StdMonthlyCapacityHours</t>
  </si>
  <si>
    <t>SelectedMonth</t>
  </si>
  <si>
    <t>SelectedProject</t>
  </si>
  <si>
    <t>OverUtilizationThresholdPct</t>
  </si>
  <si>
    <t>Calculated summaries (do not edit)</t>
  </si>
  <si>
    <t>Planned_NPD</t>
  </si>
  <si>
    <t>Planned_Sustaining</t>
  </si>
  <si>
    <t>Planned_Sprint</t>
  </si>
  <si>
    <t>Actual_NPD</t>
  </si>
  <si>
    <t>Actual_Sustaining</t>
  </si>
  <si>
    <t>Actual_Sprint</t>
  </si>
  <si>
    <t>Actual_Firefighting</t>
  </si>
  <si>
    <t>LabTech_Total</t>
  </si>
  <si>
    <t>MonthDate</t>
  </si>
  <si>
    <t>Planned_SelectedProject</t>
  </si>
  <si>
    <t>Actual_SelectedProject</t>
  </si>
  <si>
    <t>ProjectIndex</t>
  </si>
  <si>
    <t>EngineerIndex</t>
  </si>
  <si>
    <t>PlannedHours</t>
  </si>
  <si>
    <t>Planned vs Actual (Stacked) helper</t>
  </si>
  <si>
    <t>Category</t>
  </si>
  <si>
    <t>2026-01 Planned</t>
  </si>
  <si>
    <t>2026-01 Actual</t>
  </si>
  <si>
    <t>2026-02 Planned</t>
  </si>
  <si>
    <t>2026-02 Actual</t>
  </si>
  <si>
    <t>2026-03 Planned</t>
  </si>
  <si>
    <t>2026-03 Actual</t>
  </si>
  <si>
    <t>2026-04 Planned</t>
  </si>
  <si>
    <t>2026-04 Actual</t>
  </si>
  <si>
    <t>2026-05 Planned</t>
  </si>
  <si>
    <t>2026-05 Actual</t>
  </si>
  <si>
    <t>2026-06 Planned</t>
  </si>
  <si>
    <t>2026-06 Actual</t>
  </si>
  <si>
    <t>2026-07 Planned</t>
  </si>
  <si>
    <t>2026-07 Actual</t>
  </si>
  <si>
    <t>2026-08 Planned</t>
  </si>
  <si>
    <t>2026-08 Actual</t>
  </si>
  <si>
    <t>2026-09 Planned</t>
  </si>
  <si>
    <t>2026-09 Actual</t>
  </si>
  <si>
    <t>2026-10 Planned</t>
  </si>
  <si>
    <t>2026-10 Actual</t>
  </si>
  <si>
    <t>2026-11 Planned</t>
  </si>
  <si>
    <t>2026-11 Actual</t>
  </si>
  <si>
    <t>2026-12 Planned</t>
  </si>
  <si>
    <t>2026-12 Actual</t>
  </si>
  <si>
    <t>NPD Projects Planned vs Actual (SelectedMonth)</t>
  </si>
  <si>
    <t>NPD_Project</t>
  </si>
  <si>
    <t>R1337</t>
  </si>
  <si>
    <t>R1430</t>
  </si>
  <si>
    <t>R1514</t>
  </si>
  <si>
    <t>Team Resource &amp; Planning Dashboard</t>
  </si>
  <si>
    <t>Set SelectedMonth and SelectedProject in Params. Paste LP actuals into Actual_Hours. Fill planned hours + allocations to drive the resource view.</t>
  </si>
  <si>
    <t>Skill Heat Map (0–5)</t>
  </si>
  <si>
    <t>Planned Utilization Heat Map (Engineer x Month)</t>
  </si>
  <si>
    <t>NPD Milestones Heat Map (Project x Milestone)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</si>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</sst>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8"/>
      <name val="Calibri"/>
      <family val="2"/>
    </font>
    <font>
      <sz val="11"/>
      <color rgb="FF44444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15" fontId="0" fillId="0" borderId="0" xfId="0" applyNumberFormat="1"/>
    <xf numFmtId="17" fontId="0" fillId="0" borderId="0" xfId="0" applyNumberFormat="1"/>
    <xf numFmtId="0" fontId="0" fillId="3" borderId="0" xfId="0" applyFill="1"/>
    <xf numFmtId="0" fontId="6" fillId="0" borderId="0" xfId="0" applyFont="1"/>
    <xf numFmtId="0" fontId="7" fillId="4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horizontal="center" vertical="center" wrapText="1"/>
    </xf>
    <xf numFmtId="0" fontId="8" fillId="0" borderId="0" xfId="0" applyFont="1"/>
    <xf numFmtId="0" fontId="9" fillId="5" borderId="0" xfId="0" applyFont="1" applyFill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7" borderId="1" xfId="0" applyFont="1" applyFill="1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Planned vs Actual Split (NPD / Sustaining / Sprint)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Calc!$B$169</c:f>
              <c:strCache>
                <c:ptCount val="1"/>
                <c:pt idx="0">
                  <c:v>NPD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Calc!$A$170:$A$193</c:f>
              <c:strCache>
                <c:ptCount val="24"/>
                <c:pt idx="0">
                  <c:v>2026-01 Planned</c:v>
                </c:pt>
                <c:pt idx="1">
                  <c:v>2026-01 Actual</c:v>
                </c:pt>
                <c:pt idx="2">
                  <c:v>2026-02 Planned</c:v>
                </c:pt>
                <c:pt idx="3">
                  <c:v>2026-02 Actual</c:v>
                </c:pt>
                <c:pt idx="4">
                  <c:v>2026-03 Planned</c:v>
                </c:pt>
                <c:pt idx="5">
                  <c:v>2026-03 Actual</c:v>
                </c:pt>
                <c:pt idx="6">
                  <c:v>2026-04 Planned</c:v>
                </c:pt>
                <c:pt idx="7">
                  <c:v>2026-04 Actual</c:v>
                </c:pt>
                <c:pt idx="8">
                  <c:v>2026-05 Planned</c:v>
                </c:pt>
                <c:pt idx="9">
                  <c:v>2026-05 Actual</c:v>
                </c:pt>
                <c:pt idx="10">
                  <c:v>2026-06 Planned</c:v>
                </c:pt>
                <c:pt idx="11">
                  <c:v>2026-06 Actual</c:v>
                </c:pt>
                <c:pt idx="12">
                  <c:v>2026-07 Planned</c:v>
                </c:pt>
                <c:pt idx="13">
                  <c:v>2026-07 Actual</c:v>
                </c:pt>
                <c:pt idx="14">
                  <c:v>2026-08 Planned</c:v>
                </c:pt>
                <c:pt idx="15">
                  <c:v>2026-08 Actual</c:v>
                </c:pt>
                <c:pt idx="16">
                  <c:v>2026-09 Planned</c:v>
                </c:pt>
                <c:pt idx="17">
                  <c:v>2026-09 Actual</c:v>
                </c:pt>
                <c:pt idx="18">
                  <c:v>2026-10 Planned</c:v>
                </c:pt>
                <c:pt idx="19">
                  <c:v>2026-10 Actual</c:v>
                </c:pt>
                <c:pt idx="20">
                  <c:v>2026-11 Planned</c:v>
                </c:pt>
                <c:pt idx="21">
                  <c:v>2026-11 Actual</c:v>
                </c:pt>
                <c:pt idx="22">
                  <c:v>2026-12 Planned</c:v>
                </c:pt>
                <c:pt idx="23">
                  <c:v>2026-12 Actual</c:v>
                </c:pt>
              </c:strCache>
            </c:strRef>
          </c:cat>
          <c:val>
            <c:numRef>
              <c:f>Calc!$B$170:$B$193</c:f>
              <c:numCache>
                <c:formatCode>General</c:formatCode>
                <c:ptCount val="24"/>
                <c:pt idx="0">
                  <c:v>650</c:v>
                </c:pt>
                <c:pt idx="1">
                  <c:v>670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F-49B1-B773-F1D54E4643BB}"/>
            </c:ext>
          </c:extLst>
        </c:ser>
        <c:ser>
          <c:idx val="1"/>
          <c:order val="1"/>
          <c:tx>
            <c:strRef>
              <c:f>Calc!$C$169</c:f>
              <c:strCache>
                <c:ptCount val="1"/>
                <c:pt idx="0">
                  <c:v>Sustaining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Calc!$A$170:$A$193</c:f>
              <c:strCache>
                <c:ptCount val="24"/>
                <c:pt idx="0">
                  <c:v>2026-01 Planned</c:v>
                </c:pt>
                <c:pt idx="1">
                  <c:v>2026-01 Actual</c:v>
                </c:pt>
                <c:pt idx="2">
                  <c:v>2026-02 Planned</c:v>
                </c:pt>
                <c:pt idx="3">
                  <c:v>2026-02 Actual</c:v>
                </c:pt>
                <c:pt idx="4">
                  <c:v>2026-03 Planned</c:v>
                </c:pt>
                <c:pt idx="5">
                  <c:v>2026-03 Actual</c:v>
                </c:pt>
                <c:pt idx="6">
                  <c:v>2026-04 Planned</c:v>
                </c:pt>
                <c:pt idx="7">
                  <c:v>2026-04 Actual</c:v>
                </c:pt>
                <c:pt idx="8">
                  <c:v>2026-05 Planned</c:v>
                </c:pt>
                <c:pt idx="9">
                  <c:v>2026-05 Actual</c:v>
                </c:pt>
                <c:pt idx="10">
                  <c:v>2026-06 Planned</c:v>
                </c:pt>
                <c:pt idx="11">
                  <c:v>2026-06 Actual</c:v>
                </c:pt>
                <c:pt idx="12">
                  <c:v>2026-07 Planned</c:v>
                </c:pt>
                <c:pt idx="13">
                  <c:v>2026-07 Actual</c:v>
                </c:pt>
                <c:pt idx="14">
                  <c:v>2026-08 Planned</c:v>
                </c:pt>
                <c:pt idx="15">
                  <c:v>2026-08 Actual</c:v>
                </c:pt>
                <c:pt idx="16">
                  <c:v>2026-09 Planned</c:v>
                </c:pt>
                <c:pt idx="17">
                  <c:v>2026-09 Actual</c:v>
                </c:pt>
                <c:pt idx="18">
                  <c:v>2026-10 Planned</c:v>
                </c:pt>
                <c:pt idx="19">
                  <c:v>2026-10 Actual</c:v>
                </c:pt>
                <c:pt idx="20">
                  <c:v>2026-11 Planned</c:v>
                </c:pt>
                <c:pt idx="21">
                  <c:v>2026-11 Actual</c:v>
                </c:pt>
                <c:pt idx="22">
                  <c:v>2026-12 Planned</c:v>
                </c:pt>
                <c:pt idx="23">
                  <c:v>2026-12 Actual</c:v>
                </c:pt>
              </c:strCache>
            </c:strRef>
          </c:cat>
          <c:val>
            <c:numRef>
              <c:f>Calc!$C$170:$C$193</c:f>
              <c:numCache>
                <c:formatCode>General</c:formatCode>
                <c:ptCount val="24"/>
                <c:pt idx="0">
                  <c:v>70</c:v>
                </c:pt>
                <c:pt idx="1">
                  <c:v>231.25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2F-49B1-B773-F1D54E4643BB}"/>
            </c:ext>
          </c:extLst>
        </c:ser>
        <c:ser>
          <c:idx val="2"/>
          <c:order val="2"/>
          <c:tx>
            <c:strRef>
              <c:f>Calc!$D$169</c:f>
              <c:strCache>
                <c:ptCount val="1"/>
                <c:pt idx="0">
                  <c:v>Sprint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Calc!$A$170:$A$193</c:f>
              <c:strCache>
                <c:ptCount val="24"/>
                <c:pt idx="0">
                  <c:v>2026-01 Planned</c:v>
                </c:pt>
                <c:pt idx="1">
                  <c:v>2026-01 Actual</c:v>
                </c:pt>
                <c:pt idx="2">
                  <c:v>2026-02 Planned</c:v>
                </c:pt>
                <c:pt idx="3">
                  <c:v>2026-02 Actual</c:v>
                </c:pt>
                <c:pt idx="4">
                  <c:v>2026-03 Planned</c:v>
                </c:pt>
                <c:pt idx="5">
                  <c:v>2026-03 Actual</c:v>
                </c:pt>
                <c:pt idx="6">
                  <c:v>2026-04 Planned</c:v>
                </c:pt>
                <c:pt idx="7">
                  <c:v>2026-04 Actual</c:v>
                </c:pt>
                <c:pt idx="8">
                  <c:v>2026-05 Planned</c:v>
                </c:pt>
                <c:pt idx="9">
                  <c:v>2026-05 Actual</c:v>
                </c:pt>
                <c:pt idx="10">
                  <c:v>2026-06 Planned</c:v>
                </c:pt>
                <c:pt idx="11">
                  <c:v>2026-06 Actual</c:v>
                </c:pt>
                <c:pt idx="12">
                  <c:v>2026-07 Planned</c:v>
                </c:pt>
                <c:pt idx="13">
                  <c:v>2026-07 Actual</c:v>
                </c:pt>
                <c:pt idx="14">
                  <c:v>2026-08 Planned</c:v>
                </c:pt>
                <c:pt idx="15">
                  <c:v>2026-08 Actual</c:v>
                </c:pt>
                <c:pt idx="16">
                  <c:v>2026-09 Planned</c:v>
                </c:pt>
                <c:pt idx="17">
                  <c:v>2026-09 Actual</c:v>
                </c:pt>
                <c:pt idx="18">
                  <c:v>2026-10 Planned</c:v>
                </c:pt>
                <c:pt idx="19">
                  <c:v>2026-10 Actual</c:v>
                </c:pt>
                <c:pt idx="20">
                  <c:v>2026-11 Planned</c:v>
                </c:pt>
                <c:pt idx="21">
                  <c:v>2026-11 Actual</c:v>
                </c:pt>
                <c:pt idx="22">
                  <c:v>2026-12 Planned</c:v>
                </c:pt>
                <c:pt idx="23">
                  <c:v>2026-12 Actual</c:v>
                </c:pt>
              </c:strCache>
            </c:strRef>
          </c:cat>
          <c:val>
            <c:numRef>
              <c:f>Calc!$D$170:$D$193</c:f>
            </c:numRef>
          </c:val>
          <c:extLst>
            <c:ext xmlns:c16="http://schemas.microsoft.com/office/drawing/2014/chart" uri="{C3380CC4-5D6E-409C-BE32-E72D297353CC}">
              <c16:uniqueId val="{00000002-062F-49B1-B773-F1D54E464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 / Plan vs Actual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Unplanned (Firefighting) Hours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Calc!$H$6</c:f>
              <c:strCache>
                <c:ptCount val="1"/>
                <c:pt idx="0">
                  <c:v>Actual_Firefighting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Calc!$A$7:$A$18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Calc!$H$7:$H$18</c:f>
              <c:numCache>
                <c:formatCode>General</c:formatCode>
                <c:ptCount val="12"/>
                <c:pt idx="0">
                  <c:v>101.5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B-4414-B345-B4BDBE691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Lab Tech Hours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0574074074074069E-2"/>
          <c:y val="0.10348148148148149"/>
          <c:w val="0.81546314814814813"/>
          <c:h val="0.896518518518518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Calc!$I$6</c:f>
              <c:strCache>
                <c:ptCount val="1"/>
                <c:pt idx="0">
                  <c:v>LabTech_Total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Calc!$A$7:$A$18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Calc!$I$7:$I$18</c:f>
              <c:numCache>
                <c:formatCode>General</c:formatCode>
                <c:ptCount val="12"/>
                <c:pt idx="0">
                  <c:v>196</c:v>
                </c:pt>
                <c:pt idx="1">
                  <c:v>57.25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1-4187-9AA0-5199EAB04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All NPD Projects (Selected Month): Planned vs Actual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Calc!$B$197</c:f>
              <c:strCache>
                <c:ptCount val="1"/>
                <c:pt idx="0">
                  <c:v>PlannedHours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Calc!$A$198:$A$203</c:f>
              <c:strCache>
                <c:ptCount val="6"/>
                <c:pt idx="0">
                  <c:v>R1337</c:v>
                </c:pt>
                <c:pt idx="1">
                  <c:v>R1430</c:v>
                </c:pt>
                <c:pt idx="2">
                  <c:v>R1514</c:v>
                </c:pt>
                <c:pt idx="3">
                  <c:v>R1517</c:v>
                </c:pt>
                <c:pt idx="4">
                  <c:v>R1518</c:v>
                </c:pt>
                <c:pt idx="5">
                  <c:v>R1527</c:v>
                </c:pt>
              </c:strCache>
            </c:strRef>
          </c:cat>
          <c:val>
            <c:numRef>
              <c:f>Calc!$B$198:$B$203</c:f>
              <c:numCache>
                <c:formatCode>General</c:formatCode>
                <c:ptCount val="6"/>
                <c:pt idx="0">
                  <c:v>30</c:v>
                </c:pt>
                <c:pt idx="1">
                  <c:v>360</c:v>
                </c:pt>
                <c:pt idx="2">
                  <c:v>20</c:v>
                </c:pt>
                <c:pt idx="3">
                  <c:v>120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6-4706-9F30-5F8CA115FDF9}"/>
            </c:ext>
          </c:extLst>
        </c:ser>
        <c:ser>
          <c:idx val="1"/>
          <c:order val="1"/>
          <c:tx>
            <c:strRef>
              <c:f>Calc!$C$197</c:f>
              <c:strCache>
                <c:ptCount val="1"/>
                <c:pt idx="0">
                  <c:v>ActualHours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Calc!$A$198:$A$203</c:f>
              <c:strCache>
                <c:ptCount val="6"/>
                <c:pt idx="0">
                  <c:v>R1337</c:v>
                </c:pt>
                <c:pt idx="1">
                  <c:v>R1430</c:v>
                </c:pt>
                <c:pt idx="2">
                  <c:v>R1514</c:v>
                </c:pt>
                <c:pt idx="3">
                  <c:v>R1517</c:v>
                </c:pt>
                <c:pt idx="4">
                  <c:v>R1518</c:v>
                </c:pt>
                <c:pt idx="5">
                  <c:v>R1527</c:v>
                </c:pt>
              </c:strCache>
            </c:strRef>
          </c:cat>
          <c:val>
            <c:numRef>
              <c:f>Calc!$C$198:$C$203</c:f>
              <c:numCache>
                <c:formatCode>General</c:formatCode>
                <c:ptCount val="6"/>
                <c:pt idx="0">
                  <c:v>48</c:v>
                </c:pt>
                <c:pt idx="1">
                  <c:v>346.25</c:v>
                </c:pt>
                <c:pt idx="2">
                  <c:v>59.5</c:v>
                </c:pt>
                <c:pt idx="3">
                  <c:v>143.5</c:v>
                </c:pt>
                <c:pt idx="4">
                  <c:v>42.75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E6-4706-9F30-5F8CA115F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Project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50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32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onths" displayName="tblMonths" ref="A1:C13">
  <autoFilter ref="A1:C13" xr:uid="{00000000-0009-0000-0100-000001000000}"/>
  <tableColumns count="3">
    <tableColumn id="1" xr3:uid="{00000000-0010-0000-0000-000001000000}" name="Month"/>
    <tableColumn id="2" xr3:uid="{00000000-0010-0000-0000-000002000000}" name="MonthIndex"/>
    <tableColumn id="3" xr3:uid="{00000000-0010-0000-0000-000003000000}" name="MonthLabe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ojects" displayName="tblProjects" ref="A1:D35">
  <autoFilter ref="A1:D35" xr:uid="{00000000-0009-0000-0100-000002000000}"/>
  <tableColumns count="4">
    <tableColumn id="1" xr3:uid="{00000000-0010-0000-0100-000001000000}" name="ProjectID"/>
    <tableColumn id="2" xr3:uid="{00000000-0010-0000-0100-000002000000}" name="ProjectName"/>
    <tableColumn id="3" xr3:uid="{00000000-0010-0000-0100-000003000000}" name="Type"/>
    <tableColumn id="4" xr3:uid="{00000000-0010-0000-0100-000004000000}" name="WorkClas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Engineers" displayName="tblEngineers" ref="A1:B8">
  <autoFilter ref="A1:B8" xr:uid="{00000000-0009-0000-0100-000003000000}"/>
  <tableColumns count="2">
    <tableColumn id="1" xr3:uid="{00000000-0010-0000-0200-000001000000}" name="Engineer"/>
    <tableColumn id="2" xr3:uid="{00000000-0010-0000-0200-000002000000}" name="CapacityOverrideHour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Skills" displayName="tblSkills" ref="A1:I8">
  <autoFilter ref="A1:I8" xr:uid="{00000000-0009-0000-0100-000004000000}"/>
  <tableColumns count="9">
    <tableColumn id="1" xr3:uid="{00000000-0010-0000-0300-000001000000}" name="Engineer"/>
    <tableColumn id="2" xr3:uid="{00000000-0010-0000-0300-000002000000}" name="FEA"/>
    <tableColumn id="3" xr3:uid="{00000000-0010-0000-0300-000003000000}" name="CFD"/>
    <tableColumn id="4" xr3:uid="{00000000-0010-0000-0300-000004000000}" name="Deflector development"/>
    <tableColumn id="5" xr3:uid="{00000000-0010-0000-0300-000005000000}" name="VicFlex hose"/>
    <tableColumn id="6" xr3:uid="{00000000-0010-0000-0300-000006000000}" name="VicFlex bracket"/>
    <tableColumn id="7" xr3:uid="{00000000-0010-0000-0300-000007000000}" name="Vortex design"/>
    <tableColumn id="8" xr3:uid="{00000000-0010-0000-0300-000008000000}" name="Vortex operation"/>
    <tableColumn id="9" xr3:uid="{00000000-0010-0000-0300-000009000000}" name="Data acquisi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Milestones" displayName="tblMilestones" ref="A1:E13">
  <autoFilter ref="A1:E13" xr:uid="{00000000-0009-0000-0100-000005000000}"/>
  <tableColumns count="5">
    <tableColumn id="1" xr3:uid="{00000000-0010-0000-0400-000001000000}" name="ProjectID"/>
    <tableColumn id="2" xr3:uid="{00000000-0010-0000-0400-000002000000}" name="DR1"/>
    <tableColumn id="3" xr3:uid="{00000000-0010-0000-0400-000003000000}" name="DR2"/>
    <tableColumn id="4" xr3:uid="{00000000-0010-0000-0400-000004000000}" name="DR3"/>
    <tableColumn id="5" xr3:uid="{00000000-0010-0000-0400-000005000000}" name="Launch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PlanProjMonth" displayName="tblPlanProjMonth" ref="A1:C17">
  <autoFilter ref="A1:C17" xr:uid="{00000000-0009-0000-0100-000006000000}"/>
  <tableColumns count="3">
    <tableColumn id="1" xr3:uid="{00000000-0010-0000-0500-000001000000}" name="Month"/>
    <tableColumn id="2" xr3:uid="{00000000-0010-0000-0500-000002000000}" name="ProjectID"/>
    <tableColumn id="3" xr3:uid="{00000000-0010-0000-0500-000003000000}" name="TotalPlannedHour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PlannedAlloc" displayName="tblPlannedAlloc" ref="A1:F16">
  <autoFilter ref="A1:F16" xr:uid="{00000000-0009-0000-0100-000007000000}"/>
  <tableColumns count="6">
    <tableColumn id="1" xr3:uid="{00000000-0010-0000-0600-000001000000}" name="Month"/>
    <tableColumn id="2" xr3:uid="{00000000-0010-0000-0600-000002000000}" name="ProjectID"/>
    <tableColumn id="3" xr3:uid="{00000000-0010-0000-0600-000003000000}" name="Engineer"/>
    <tableColumn id="4" xr3:uid="{00000000-0010-0000-0600-000004000000}" name="AllocationPct"/>
    <tableColumn id="5" xr3:uid="{00000000-0010-0000-0600-000005000000}" name="ProjectType" dataDxfId="0">
      <calculatedColumnFormula>IFERROR(VLOOKUP(B2,Projects!A:C,3,FALSE),"")</calculatedColumnFormula>
    </tableColumn>
    <tableColumn id="6" xr3:uid="{00000000-0010-0000-0600-000006000000}" name="PlannedHoursAllocated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ActualHours" displayName="tblActualHours" ref="A1:F48">
  <autoFilter ref="A1:F48" xr:uid="{00000000-0009-0000-0100-000008000000}"/>
  <tableColumns count="6">
    <tableColumn id="1" xr3:uid="{00000000-0010-0000-0700-000001000000}" name="Month"/>
    <tableColumn id="2" xr3:uid="{00000000-0010-0000-0700-000002000000}" name="ProjectID"/>
    <tableColumn id="3" xr3:uid="{00000000-0010-0000-0700-000003000000}" name="Engineer"/>
    <tableColumn id="4" xr3:uid="{00000000-0010-0000-0700-000004000000}" name="WorkClass">
      <calculatedColumnFormula>IFERROR(VLOOKUP(B2,Projects!A:D,4,FALSE),"")</calculatedColumnFormula>
    </tableColumn>
    <tableColumn id="5" xr3:uid="{00000000-0010-0000-0700-000005000000}" name="ProjectType">
      <calculatedColumnFormula>IFERROR(VLOOKUP(B2,Projects!A:C,3,FALSE),"")</calculatedColumnFormula>
    </tableColumn>
    <tableColumn id="6" xr3:uid="{00000000-0010-0000-0700-000006000000}" name="ActualHour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LabTech" displayName="tblLabTech" ref="A1:C15">
  <autoFilter ref="A1:C15" xr:uid="{00000000-0009-0000-0100-000009000000}"/>
  <tableColumns count="3">
    <tableColumn id="1" xr3:uid="{00000000-0010-0000-0800-000001000000}" name="Month"/>
    <tableColumn id="2" xr3:uid="{00000000-0010-0000-0800-000002000000}" name="Engineer"/>
    <tableColumn id="3" xr3:uid="{00000000-0010-0000-0800-000003000000}" name="LabTechHou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/>
  </sheetViews>
  <sheetFormatPr defaultRowHeight="15" x14ac:dyDescent="0.25"/>
  <cols>
    <col min="1" max="1" width="120" customWidth="1"/>
  </cols>
  <sheetData>
    <row r="1" spans="1:1" ht="21" customHeight="1" x14ac:dyDescent="0.35">
      <c r="A1" s="1" t="s">
        <v>0</v>
      </c>
    </row>
    <row r="3" spans="1:1" ht="30" customHeight="1" x14ac:dyDescent="0.25">
      <c r="A3" s="2" t="s">
        <v>1</v>
      </c>
    </row>
    <row r="5" spans="1:1" ht="30" customHeight="1" x14ac:dyDescent="0.25">
      <c r="A5" s="2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5" x14ac:dyDescent="0.25"/>
  <cols>
    <col min="1" max="1" width="14" customWidth="1"/>
    <col min="2" max="2" width="11" customWidth="1"/>
    <col min="3" max="3" width="12" customWidth="1"/>
  </cols>
  <sheetData>
    <row r="1" spans="1:3" ht="30" customHeight="1" x14ac:dyDescent="0.25">
      <c r="A1" s="3" t="s">
        <v>3</v>
      </c>
      <c r="B1" s="3" t="s">
        <v>4</v>
      </c>
      <c r="C1" s="3" t="s">
        <v>5</v>
      </c>
    </row>
    <row r="2" spans="1:3" x14ac:dyDescent="0.25">
      <c r="A2" s="4">
        <v>46023</v>
      </c>
      <c r="B2">
        <v>1</v>
      </c>
      <c r="C2" t="s">
        <v>6</v>
      </c>
    </row>
    <row r="3" spans="1:3" x14ac:dyDescent="0.25">
      <c r="A3" s="4">
        <v>46054</v>
      </c>
      <c r="B3">
        <v>2</v>
      </c>
      <c r="C3" t="s">
        <v>7</v>
      </c>
    </row>
    <row r="4" spans="1:3" x14ac:dyDescent="0.25">
      <c r="A4" s="4">
        <v>46082</v>
      </c>
      <c r="B4">
        <v>3</v>
      </c>
      <c r="C4" t="s">
        <v>8</v>
      </c>
    </row>
    <row r="5" spans="1:3" x14ac:dyDescent="0.25">
      <c r="A5" s="4">
        <v>46113</v>
      </c>
      <c r="B5">
        <v>4</v>
      </c>
      <c r="C5" t="s">
        <v>9</v>
      </c>
    </row>
    <row r="6" spans="1:3" x14ac:dyDescent="0.25">
      <c r="A6" s="4">
        <v>46143</v>
      </c>
      <c r="B6">
        <v>5</v>
      </c>
      <c r="C6" t="s">
        <v>10</v>
      </c>
    </row>
    <row r="7" spans="1:3" x14ac:dyDescent="0.25">
      <c r="A7" s="4">
        <v>46174</v>
      </c>
      <c r="B7">
        <v>6</v>
      </c>
      <c r="C7" t="s">
        <v>11</v>
      </c>
    </row>
    <row r="8" spans="1:3" x14ac:dyDescent="0.25">
      <c r="A8" s="4">
        <v>46204</v>
      </c>
      <c r="B8">
        <v>7</v>
      </c>
      <c r="C8" t="s">
        <v>12</v>
      </c>
    </row>
    <row r="9" spans="1:3" x14ac:dyDescent="0.25">
      <c r="A9" s="4">
        <v>46235</v>
      </c>
      <c r="B9">
        <v>8</v>
      </c>
      <c r="C9" t="s">
        <v>13</v>
      </c>
    </row>
    <row r="10" spans="1:3" x14ac:dyDescent="0.25">
      <c r="A10" s="4">
        <v>46266</v>
      </c>
      <c r="B10">
        <v>9</v>
      </c>
      <c r="C10" t="s">
        <v>14</v>
      </c>
    </row>
    <row r="11" spans="1:3" x14ac:dyDescent="0.25">
      <c r="A11" s="4">
        <v>46296</v>
      </c>
      <c r="B11">
        <v>10</v>
      </c>
      <c r="C11" t="s">
        <v>15</v>
      </c>
    </row>
    <row r="12" spans="1:3" x14ac:dyDescent="0.25">
      <c r="A12" s="4">
        <v>46327</v>
      </c>
      <c r="B12">
        <v>11</v>
      </c>
      <c r="C12" t="s">
        <v>16</v>
      </c>
    </row>
    <row r="13" spans="1:3" x14ac:dyDescent="0.25">
      <c r="A13" s="4">
        <v>46357</v>
      </c>
      <c r="B13">
        <v>12</v>
      </c>
      <c r="C13" t="s">
        <v>17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workbookViewId="0">
      <pane ySplit="1" topLeftCell="A2" activePane="bottomLeft" state="frozen"/>
      <selection pane="bottomLeft" activeCell="A35" sqref="A35"/>
    </sheetView>
  </sheetViews>
  <sheetFormatPr defaultRowHeight="15" x14ac:dyDescent="0.25"/>
  <cols>
    <col min="1" max="1" width="12" customWidth="1"/>
    <col min="2" max="2" width="50" customWidth="1"/>
    <col min="3" max="3" width="14" customWidth="1"/>
    <col min="4" max="4" width="25.5703125" customWidth="1"/>
  </cols>
  <sheetData>
    <row r="1" spans="1:4" ht="30" customHeight="1" x14ac:dyDescent="0.25">
      <c r="A1" s="3" t="s">
        <v>18</v>
      </c>
      <c r="B1" s="3" t="s">
        <v>19</v>
      </c>
      <c r="C1" s="3" t="s">
        <v>20</v>
      </c>
      <c r="D1" s="3" t="s">
        <v>21</v>
      </c>
    </row>
    <row r="2" spans="1:4" x14ac:dyDescent="0.25">
      <c r="A2" t="s">
        <v>22</v>
      </c>
      <c r="B2" t="s">
        <v>23</v>
      </c>
      <c r="C2" t="s">
        <v>24</v>
      </c>
      <c r="D2" t="s">
        <v>25</v>
      </c>
    </row>
    <row r="3" spans="1:4" x14ac:dyDescent="0.25">
      <c r="A3" t="s">
        <v>26</v>
      </c>
      <c r="B3" t="s">
        <v>27</v>
      </c>
      <c r="C3" t="s">
        <v>24</v>
      </c>
      <c r="D3" t="s">
        <v>25</v>
      </c>
    </row>
    <row r="4" spans="1:4" x14ac:dyDescent="0.25">
      <c r="A4" t="s">
        <v>28</v>
      </c>
      <c r="B4" t="s">
        <v>29</v>
      </c>
      <c r="C4" t="s">
        <v>24</v>
      </c>
      <c r="D4" t="s">
        <v>25</v>
      </c>
    </row>
    <row r="5" spans="1:4" x14ac:dyDescent="0.25">
      <c r="A5" t="s">
        <v>30</v>
      </c>
      <c r="B5" t="s">
        <v>31</v>
      </c>
      <c r="C5" t="s">
        <v>24</v>
      </c>
      <c r="D5" t="s">
        <v>25</v>
      </c>
    </row>
    <row r="6" spans="1:4" x14ac:dyDescent="0.25">
      <c r="A6" t="s">
        <v>32</v>
      </c>
      <c r="B6" t="s">
        <v>33</v>
      </c>
      <c r="C6" t="s">
        <v>24</v>
      </c>
      <c r="D6" t="s">
        <v>25</v>
      </c>
    </row>
    <row r="7" spans="1:4" x14ac:dyDescent="0.25">
      <c r="A7" t="s">
        <v>34</v>
      </c>
      <c r="B7" t="s">
        <v>35</v>
      </c>
      <c r="C7" t="s">
        <v>24</v>
      </c>
      <c r="D7" t="s">
        <v>25</v>
      </c>
    </row>
    <row r="8" spans="1:4" x14ac:dyDescent="0.25">
      <c r="A8" t="s">
        <v>36</v>
      </c>
      <c r="B8" t="s">
        <v>37</v>
      </c>
      <c r="C8" t="s">
        <v>24</v>
      </c>
      <c r="D8" t="s">
        <v>25</v>
      </c>
    </row>
    <row r="9" spans="1:4" x14ac:dyDescent="0.25">
      <c r="A9" t="s">
        <v>38</v>
      </c>
      <c r="B9" t="s">
        <v>39</v>
      </c>
      <c r="C9" t="s">
        <v>24</v>
      </c>
      <c r="D9" t="s">
        <v>25</v>
      </c>
    </row>
    <row r="10" spans="1:4" x14ac:dyDescent="0.25">
      <c r="A10" t="s">
        <v>40</v>
      </c>
      <c r="B10" t="s">
        <v>41</v>
      </c>
      <c r="C10" t="s">
        <v>24</v>
      </c>
      <c r="D10" t="s">
        <v>25</v>
      </c>
    </row>
    <row r="11" spans="1:4" x14ac:dyDescent="0.25">
      <c r="A11" t="s">
        <v>42</v>
      </c>
      <c r="B11" t="s">
        <v>43</v>
      </c>
      <c r="C11" t="s">
        <v>24</v>
      </c>
      <c r="D11" t="s">
        <v>25</v>
      </c>
    </row>
    <row r="12" spans="1:4" x14ac:dyDescent="0.25">
      <c r="A12" t="s">
        <v>44</v>
      </c>
      <c r="B12" t="s">
        <v>45</v>
      </c>
      <c r="C12" t="s">
        <v>24</v>
      </c>
      <c r="D12" t="s">
        <v>25</v>
      </c>
    </row>
    <row r="13" spans="1:4" x14ac:dyDescent="0.25">
      <c r="A13" t="s">
        <v>46</v>
      </c>
      <c r="B13" t="s">
        <v>47</v>
      </c>
      <c r="C13" t="s">
        <v>24</v>
      </c>
      <c r="D13" t="s">
        <v>25</v>
      </c>
    </row>
    <row r="14" spans="1:4" x14ac:dyDescent="0.25">
      <c r="A14" t="s">
        <v>48</v>
      </c>
      <c r="B14" t="s">
        <v>49</v>
      </c>
      <c r="C14" t="s">
        <v>50</v>
      </c>
      <c r="D14" t="s">
        <v>51</v>
      </c>
    </row>
    <row r="15" spans="1:4" x14ac:dyDescent="0.25">
      <c r="A15" t="s">
        <v>52</v>
      </c>
      <c r="B15" t="s">
        <v>53</v>
      </c>
      <c r="C15" t="s">
        <v>50</v>
      </c>
      <c r="D15" t="s">
        <v>25</v>
      </c>
    </row>
    <row r="16" spans="1:4" x14ac:dyDescent="0.25">
      <c r="A16" t="s">
        <v>54</v>
      </c>
      <c r="B16" t="s">
        <v>55</v>
      </c>
      <c r="C16" t="s">
        <v>50</v>
      </c>
      <c r="D16" t="s">
        <v>25</v>
      </c>
    </row>
    <row r="17" spans="1:4" x14ac:dyDescent="0.25">
      <c r="A17" t="s">
        <v>56</v>
      </c>
      <c r="B17" t="s">
        <v>57</v>
      </c>
      <c r="C17" t="s">
        <v>50</v>
      </c>
      <c r="D17" t="s">
        <v>25</v>
      </c>
    </row>
    <row r="18" spans="1:4" x14ac:dyDescent="0.25">
      <c r="A18" t="s">
        <v>58</v>
      </c>
      <c r="B18" t="s">
        <v>59</v>
      </c>
      <c r="C18" t="s">
        <v>60</v>
      </c>
      <c r="D18" t="s">
        <v>25</v>
      </c>
    </row>
    <row r="19" spans="1:4" x14ac:dyDescent="0.25">
      <c r="A19" t="s">
        <v>61</v>
      </c>
      <c r="B19" t="s">
        <v>62</v>
      </c>
      <c r="C19" t="s">
        <v>63</v>
      </c>
      <c r="D19" t="s">
        <v>25</v>
      </c>
    </row>
    <row r="20" spans="1:4" x14ac:dyDescent="0.25">
      <c r="A20" t="s">
        <v>64</v>
      </c>
      <c r="B20" t="s">
        <v>65</v>
      </c>
      <c r="C20" t="s">
        <v>50</v>
      </c>
      <c r="D20" t="s">
        <v>25</v>
      </c>
    </row>
    <row r="21" spans="1:4" x14ac:dyDescent="0.25">
      <c r="A21" t="s">
        <v>66</v>
      </c>
      <c r="B21" t="s">
        <v>67</v>
      </c>
      <c r="C21" t="s">
        <v>50</v>
      </c>
      <c r="D21" t="s">
        <v>51</v>
      </c>
    </row>
    <row r="22" spans="1:4" x14ac:dyDescent="0.25">
      <c r="A22" t="s">
        <v>68</v>
      </c>
      <c r="B22" t="s">
        <v>69</v>
      </c>
      <c r="C22" t="s">
        <v>50</v>
      </c>
      <c r="D22" t="s">
        <v>51</v>
      </c>
    </row>
    <row r="23" spans="1:4" x14ac:dyDescent="0.25">
      <c r="A23" t="s">
        <v>70</v>
      </c>
      <c r="B23" t="s">
        <v>71</v>
      </c>
      <c r="C23" t="s">
        <v>50</v>
      </c>
      <c r="D23" t="s">
        <v>51</v>
      </c>
    </row>
    <row r="24" spans="1:4" x14ac:dyDescent="0.25">
      <c r="A24" t="s">
        <v>72</v>
      </c>
      <c r="B24" t="s">
        <v>73</v>
      </c>
      <c r="C24" t="s">
        <v>50</v>
      </c>
      <c r="D24" t="s">
        <v>51</v>
      </c>
    </row>
    <row r="25" spans="1:4" x14ac:dyDescent="0.25">
      <c r="A25" t="s">
        <v>74</v>
      </c>
      <c r="B25" t="s">
        <v>75</v>
      </c>
      <c r="C25" t="s">
        <v>50</v>
      </c>
      <c r="D25" t="s">
        <v>25</v>
      </c>
    </row>
    <row r="26" spans="1:4" x14ac:dyDescent="0.25">
      <c r="A26" t="s">
        <v>76</v>
      </c>
      <c r="B26" t="s">
        <v>77</v>
      </c>
      <c r="C26" t="s">
        <v>50</v>
      </c>
      <c r="D26" t="s">
        <v>25</v>
      </c>
    </row>
    <row r="27" spans="1:4" x14ac:dyDescent="0.25">
      <c r="A27" t="s">
        <v>54</v>
      </c>
      <c r="B27" t="s">
        <v>78</v>
      </c>
      <c r="C27" t="s">
        <v>50</v>
      </c>
      <c r="D27" t="s">
        <v>25</v>
      </c>
    </row>
    <row r="28" spans="1:4" x14ac:dyDescent="0.25">
      <c r="A28" t="s">
        <v>79</v>
      </c>
      <c r="B28" t="s">
        <v>80</v>
      </c>
      <c r="C28" t="s">
        <v>50</v>
      </c>
      <c r="D28" t="s">
        <v>51</v>
      </c>
    </row>
    <row r="29" spans="1:4" x14ac:dyDescent="0.25">
      <c r="A29" t="s">
        <v>81</v>
      </c>
      <c r="B29" t="s">
        <v>82</v>
      </c>
      <c r="C29" t="s">
        <v>50</v>
      </c>
      <c r="D29" t="s">
        <v>51</v>
      </c>
    </row>
    <row r="30" spans="1:4" x14ac:dyDescent="0.25">
      <c r="A30" t="s">
        <v>83</v>
      </c>
      <c r="B30" t="s">
        <v>84</v>
      </c>
      <c r="C30" t="s">
        <v>50</v>
      </c>
      <c r="D30" t="s">
        <v>51</v>
      </c>
    </row>
    <row r="31" spans="1:4" x14ac:dyDescent="0.25">
      <c r="A31" t="s">
        <v>85</v>
      </c>
      <c r="B31" t="s">
        <v>86</v>
      </c>
      <c r="C31" t="s">
        <v>50</v>
      </c>
      <c r="D31" t="s">
        <v>51</v>
      </c>
    </row>
    <row r="32" spans="1:4" x14ac:dyDescent="0.25">
      <c r="A32" t="s">
        <v>48</v>
      </c>
      <c r="B32" t="s">
        <v>87</v>
      </c>
      <c r="C32" t="s">
        <v>50</v>
      </c>
      <c r="D32" t="s">
        <v>51</v>
      </c>
    </row>
    <row r="33" spans="1:4" x14ac:dyDescent="0.25">
      <c r="A33" t="s">
        <v>88</v>
      </c>
      <c r="B33" t="s">
        <v>89</v>
      </c>
      <c r="C33" t="s">
        <v>50</v>
      </c>
      <c r="D33" t="s">
        <v>25</v>
      </c>
    </row>
    <row r="34" spans="1:4" x14ac:dyDescent="0.25">
      <c r="A34" t="s">
        <v>90</v>
      </c>
      <c r="B34" t="s">
        <v>91</v>
      </c>
      <c r="C34" t="s">
        <v>92</v>
      </c>
      <c r="D34" t="s">
        <v>25</v>
      </c>
    </row>
  </sheetData>
  <dataValidations count="1">
    <dataValidation type="list" allowBlank="1" showInputMessage="1" showErrorMessage="1" sqref="D2:D35" xr:uid="{00000000-0002-0000-0200-000000000000}">
      <formula1>"Planned,Unplanned/Firefighting"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18" customWidth="1"/>
    <col min="2" max="2" width="22" customWidth="1"/>
  </cols>
  <sheetData>
    <row r="1" spans="1:2" x14ac:dyDescent="0.25">
      <c r="A1" s="3" t="s">
        <v>93</v>
      </c>
      <c r="B1" s="3" t="s">
        <v>94</v>
      </c>
    </row>
    <row r="2" spans="1:2" x14ac:dyDescent="0.25">
      <c r="A2" t="s">
        <v>95</v>
      </c>
      <c r="B2">
        <v>0</v>
      </c>
    </row>
    <row r="3" spans="1:2" x14ac:dyDescent="0.25">
      <c r="A3" t="s">
        <v>96</v>
      </c>
      <c r="B3">
        <v>0</v>
      </c>
    </row>
    <row r="4" spans="1:2" x14ac:dyDescent="0.25">
      <c r="A4" t="s">
        <v>97</v>
      </c>
      <c r="B4">
        <v>0</v>
      </c>
    </row>
    <row r="5" spans="1:2" x14ac:dyDescent="0.25">
      <c r="A5" t="s">
        <v>98</v>
      </c>
      <c r="B5">
        <v>0</v>
      </c>
    </row>
    <row r="6" spans="1:2" x14ac:dyDescent="0.25">
      <c r="A6" t="s">
        <v>99</v>
      </c>
      <c r="B6">
        <v>0</v>
      </c>
    </row>
    <row r="7" spans="1:2" x14ac:dyDescent="0.25">
      <c r="A7" t="s">
        <v>100</v>
      </c>
      <c r="B7">
        <v>0</v>
      </c>
    </row>
    <row r="8" spans="1:2" x14ac:dyDescent="0.25">
      <c r="A8" t="s">
        <v>101</v>
      </c>
      <c r="B8"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"/>
  <sheetViews>
    <sheetView tabSelected="1" workbookViewId="0">
      <pane ySplit="1" topLeftCell="A2" activePane="bottomLeft" state="frozen"/>
      <selection pane="bottomLeft" activeCell="K17" sqref="K17"/>
    </sheetView>
  </sheetViews>
  <sheetFormatPr defaultRowHeight="15" x14ac:dyDescent="0.25"/>
  <cols>
    <col min="1" max="9" width="18" customWidth="1"/>
  </cols>
  <sheetData>
    <row r="1" spans="1:15" ht="30" customHeight="1" x14ac:dyDescent="0.25">
      <c r="A1" s="3" t="s">
        <v>93</v>
      </c>
      <c r="B1" s="3" t="s">
        <v>102</v>
      </c>
      <c r="C1" s="3" t="s">
        <v>103</v>
      </c>
      <c r="D1" s="3" t="s">
        <v>104</v>
      </c>
      <c r="E1" s="3" t="s">
        <v>105</v>
      </c>
      <c r="F1" s="3" t="s">
        <v>106</v>
      </c>
      <c r="G1" s="3" t="s">
        <v>107</v>
      </c>
      <c r="H1" s="3" t="s">
        <v>108</v>
      </c>
      <c r="I1" s="3" t="s">
        <v>109</v>
      </c>
      <c r="J1" s="3" t="s">
        <v>110</v>
      </c>
      <c r="K1" s="3" t="s">
        <v>111</v>
      </c>
      <c r="L1" s="3" t="s">
        <v>112</v>
      </c>
      <c r="M1" s="3" t="s">
        <v>113</v>
      </c>
      <c r="N1" s="3" t="s">
        <v>114</v>
      </c>
      <c r="O1" s="3" t="s">
        <v>115</v>
      </c>
    </row>
    <row r="2" spans="1:15" x14ac:dyDescent="0.25">
      <c r="A2" t="s">
        <v>95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</row>
    <row r="3" spans="1:15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</row>
    <row r="4" spans="1:15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</row>
    <row r="5" spans="1:15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</row>
    <row r="6" spans="1:15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</row>
    <row r="7" spans="1:15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</row>
    <row r="8" spans="1:15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</row>
  </sheetData>
  <conditionalFormatting sqref="B2:I8">
    <cfRule type="colorScale" priority="2">
      <colorScale>
        <cfvo type="num" val="0"/>
        <cfvo type="num" val="2.5"/>
        <cfvo type="num" val="5"/>
        <color rgb="FFF8696B"/>
        <color rgb="FFFFEB84"/>
        <color rgb="FF63BE7B"/>
      </colorScale>
    </cfRule>
  </conditionalFormatting>
  <conditionalFormatting sqref="J2:O8">
    <cfRule type="colorScale" priority="1">
      <colorScale>
        <cfvo type="num" val="0"/>
        <cfvo type="num" val="2.5"/>
        <cfvo type="num" val="5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>
      <pane ySplit="1" topLeftCell="A2" activePane="bottomLeft" state="frozen"/>
      <selection pane="bottomLeft" activeCell="F28" sqref="F28"/>
    </sheetView>
  </sheetViews>
  <sheetFormatPr defaultRowHeight="15" x14ac:dyDescent="0.25"/>
  <cols>
    <col min="1" max="5" width="14" customWidth="1"/>
  </cols>
  <sheetData>
    <row r="1" spans="1:5" x14ac:dyDescent="0.25">
      <c r="A1" s="3" t="s">
        <v>18</v>
      </c>
      <c r="B1" s="3" t="s">
        <v>116</v>
      </c>
      <c r="C1" s="3" t="s">
        <v>117</v>
      </c>
      <c r="D1" s="3" t="s">
        <v>118</v>
      </c>
      <c r="E1" s="3" t="s">
        <v>119</v>
      </c>
    </row>
    <row r="2" spans="1:5" x14ac:dyDescent="0.25">
      <c r="A2" t="s">
        <v>22</v>
      </c>
    </row>
    <row r="3" spans="1:5" x14ac:dyDescent="0.25">
      <c r="A3" t="s">
        <v>26</v>
      </c>
    </row>
    <row r="4" spans="1:5" x14ac:dyDescent="0.25">
      <c r="A4" t="s">
        <v>28</v>
      </c>
    </row>
    <row r="5" spans="1:5" x14ac:dyDescent="0.25">
      <c r="A5" t="s">
        <v>30</v>
      </c>
    </row>
    <row r="6" spans="1:5" x14ac:dyDescent="0.25">
      <c r="A6" t="s">
        <v>32</v>
      </c>
    </row>
    <row r="7" spans="1:5" x14ac:dyDescent="0.25">
      <c r="A7" t="s">
        <v>34</v>
      </c>
    </row>
    <row r="8" spans="1:5" x14ac:dyDescent="0.25">
      <c r="A8" t="s">
        <v>36</v>
      </c>
    </row>
    <row r="9" spans="1:5" x14ac:dyDescent="0.25">
      <c r="A9" t="s">
        <v>38</v>
      </c>
    </row>
    <row r="10" spans="1:5" x14ac:dyDescent="0.25">
      <c r="A10" t="s">
        <v>40</v>
      </c>
    </row>
    <row r="11" spans="1:5" x14ac:dyDescent="0.25">
      <c r="A11" t="s">
        <v>42</v>
      </c>
    </row>
    <row r="12" spans="1:5" x14ac:dyDescent="0.25">
      <c r="A12" t="s">
        <v>44</v>
      </c>
      <c r="B12" s="9">
        <v>45692</v>
      </c>
      <c r="C12" s="9">
        <v>45820</v>
      </c>
      <c r="D12" s="9">
        <v>46094</v>
      </c>
      <c r="E12" s="10">
        <v>46296</v>
      </c>
    </row>
    <row r="13" spans="1:5" x14ac:dyDescent="0.25">
      <c r="A13" t="s">
        <v>46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7"/>
  <sheetViews>
    <sheetView workbookViewId="0">
      <pane ySplit="1" topLeftCell="A2" activePane="bottomLeft" state="frozen"/>
      <selection pane="bottomLeft" activeCell="J11" sqref="J11"/>
    </sheetView>
  </sheetViews>
  <sheetFormatPr defaultRowHeight="15" x14ac:dyDescent="0.25"/>
  <cols>
    <col min="1" max="1" width="14" customWidth="1"/>
    <col min="2" max="2" width="12" customWidth="1"/>
    <col min="3" max="3" width="18" customWidth="1"/>
  </cols>
  <sheetData>
    <row r="1" spans="1:3" ht="30" customHeight="1" x14ac:dyDescent="0.25">
      <c r="A1" s="3" t="s">
        <v>3</v>
      </c>
      <c r="B1" s="3" t="s">
        <v>18</v>
      </c>
      <c r="C1" s="3" t="s">
        <v>120</v>
      </c>
    </row>
    <row r="2" spans="1:3" x14ac:dyDescent="0.25">
      <c r="A2" s="4">
        <v>46023</v>
      </c>
      <c r="B2" t="s">
        <v>22</v>
      </c>
      <c r="C2">
        <v>40</v>
      </c>
    </row>
    <row r="3" spans="1:3" x14ac:dyDescent="0.25">
      <c r="A3" s="4">
        <v>46023</v>
      </c>
      <c r="B3" t="s">
        <v>26</v>
      </c>
      <c r="C3">
        <v>40</v>
      </c>
    </row>
    <row r="4" spans="1:3" x14ac:dyDescent="0.25">
      <c r="A4" s="4">
        <v>46023</v>
      </c>
      <c r="B4" t="s">
        <v>28</v>
      </c>
      <c r="C4">
        <v>40</v>
      </c>
    </row>
    <row r="5" spans="1:3" x14ac:dyDescent="0.25">
      <c r="A5" s="4">
        <v>46023</v>
      </c>
      <c r="B5" t="s">
        <v>30</v>
      </c>
      <c r="C5">
        <v>120</v>
      </c>
    </row>
    <row r="6" spans="1:3" x14ac:dyDescent="0.25">
      <c r="A6" s="4">
        <v>46023</v>
      </c>
      <c r="B6" t="s">
        <v>32</v>
      </c>
      <c r="C6">
        <v>60</v>
      </c>
    </row>
    <row r="7" spans="1:3" x14ac:dyDescent="0.25">
      <c r="A7" s="4">
        <v>46023</v>
      </c>
      <c r="B7" t="s">
        <v>34</v>
      </c>
      <c r="C7">
        <v>60</v>
      </c>
    </row>
    <row r="8" spans="1:3" x14ac:dyDescent="0.25">
      <c r="A8" s="4">
        <v>46023</v>
      </c>
      <c r="B8" t="s">
        <v>36</v>
      </c>
      <c r="C8">
        <v>30</v>
      </c>
    </row>
    <row r="9" spans="1:3" x14ac:dyDescent="0.25">
      <c r="A9" s="4">
        <v>46023</v>
      </c>
      <c r="B9" t="s">
        <v>38</v>
      </c>
      <c r="C9">
        <v>60</v>
      </c>
    </row>
    <row r="10" spans="1:3" x14ac:dyDescent="0.25">
      <c r="A10" s="4">
        <v>46023</v>
      </c>
      <c r="B10" t="s">
        <v>40</v>
      </c>
    </row>
    <row r="11" spans="1:3" x14ac:dyDescent="0.25">
      <c r="A11" s="4">
        <v>46023</v>
      </c>
      <c r="B11" t="s">
        <v>42</v>
      </c>
      <c r="C11">
        <v>120</v>
      </c>
    </row>
    <row r="12" spans="1:3" x14ac:dyDescent="0.25">
      <c r="A12" s="4">
        <v>46023</v>
      </c>
      <c r="B12" t="s">
        <v>44</v>
      </c>
      <c r="C12">
        <v>60</v>
      </c>
    </row>
    <row r="13" spans="1:3" x14ac:dyDescent="0.25">
      <c r="A13" s="4">
        <v>46023</v>
      </c>
      <c r="B13" t="s">
        <v>46</v>
      </c>
      <c r="C13">
        <v>120</v>
      </c>
    </row>
    <row r="14" spans="1:3" x14ac:dyDescent="0.25">
      <c r="A14" s="4">
        <v>46023</v>
      </c>
      <c r="B14" t="s">
        <v>48</v>
      </c>
      <c r="C14">
        <v>10</v>
      </c>
    </row>
    <row r="15" spans="1:3" x14ac:dyDescent="0.25">
      <c r="A15" s="4">
        <v>46023</v>
      </c>
      <c r="B15" t="s">
        <v>52</v>
      </c>
      <c r="C15">
        <v>30</v>
      </c>
    </row>
    <row r="16" spans="1:3" x14ac:dyDescent="0.25">
      <c r="A16" s="4">
        <v>46023</v>
      </c>
      <c r="B16" t="s">
        <v>54</v>
      </c>
      <c r="C16">
        <v>15</v>
      </c>
    </row>
    <row r="17" spans="1:3" x14ac:dyDescent="0.25">
      <c r="A17" s="4">
        <v>46023</v>
      </c>
      <c r="B17" t="s">
        <v>56</v>
      </c>
      <c r="C17">
        <v>60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pane ySplit="1" topLeftCell="A2" activePane="bottomLeft" state="frozen"/>
      <selection pane="bottomLeft" activeCell="D17" sqref="D17"/>
    </sheetView>
  </sheetViews>
  <sheetFormatPr defaultRowHeight="15" x14ac:dyDescent="0.25"/>
  <cols>
    <col min="1" max="1" width="14" customWidth="1"/>
    <col min="2" max="2" width="12" customWidth="1"/>
    <col min="3" max="5" width="14" customWidth="1"/>
    <col min="6" max="6" width="22" customWidth="1"/>
  </cols>
  <sheetData>
    <row r="1" spans="1:6" ht="30" customHeight="1" x14ac:dyDescent="0.25">
      <c r="A1" s="3" t="s">
        <v>3</v>
      </c>
      <c r="B1" s="3" t="s">
        <v>18</v>
      </c>
      <c r="C1" s="3" t="s">
        <v>93</v>
      </c>
      <c r="D1" s="3" t="s">
        <v>121</v>
      </c>
      <c r="E1" s="3" t="s">
        <v>122</v>
      </c>
      <c r="F1" s="3" t="s">
        <v>123</v>
      </c>
    </row>
    <row r="2" spans="1:6" x14ac:dyDescent="0.25">
      <c r="A2" s="4">
        <v>46023</v>
      </c>
      <c r="B2" t="s">
        <v>22</v>
      </c>
      <c r="C2" t="s">
        <v>99</v>
      </c>
      <c r="D2" s="5">
        <v>1</v>
      </c>
      <c r="E2" t="str">
        <f>IFERROR(VLOOKUP(B2,Projects!A:C,3,FALSE),"")</f>
        <v>NPD</v>
      </c>
      <c r="F2">
        <v>10</v>
      </c>
    </row>
    <row r="3" spans="1:6" x14ac:dyDescent="0.25">
      <c r="A3" s="4">
        <v>46023</v>
      </c>
      <c r="B3" t="s">
        <v>26</v>
      </c>
      <c r="C3" t="s">
        <v>99</v>
      </c>
      <c r="D3" s="5">
        <v>1</v>
      </c>
      <c r="E3" t="str">
        <f>IFERROR(VLOOKUP(B3,Projects!A:C,3,FALSE),"")</f>
        <v>NPD</v>
      </c>
      <c r="F3">
        <v>10</v>
      </c>
    </row>
    <row r="4" spans="1:6" x14ac:dyDescent="0.25">
      <c r="A4" s="4">
        <v>46023</v>
      </c>
      <c r="B4" t="s">
        <v>28</v>
      </c>
      <c r="C4" t="s">
        <v>99</v>
      </c>
      <c r="D4" s="5">
        <v>1</v>
      </c>
      <c r="E4" t="str">
        <f>IFERROR(VLOOKUP(B4,Projects!A:C,3,FALSE),"")</f>
        <v>NPD</v>
      </c>
      <c r="F4">
        <v>10</v>
      </c>
    </row>
    <row r="5" spans="1:6" x14ac:dyDescent="0.25">
      <c r="A5" s="4">
        <v>46023</v>
      </c>
      <c r="B5" t="s">
        <v>30</v>
      </c>
      <c r="C5" t="s">
        <v>95</v>
      </c>
      <c r="D5" s="5">
        <v>1</v>
      </c>
      <c r="E5" t="str">
        <f>IFERROR(VLOOKUP(B5,Projects!A:C,3,FALSE),"")</f>
        <v>NPD</v>
      </c>
      <c r="F5">
        <v>120</v>
      </c>
    </row>
    <row r="6" spans="1:6" x14ac:dyDescent="0.25">
      <c r="A6" s="4">
        <v>46023</v>
      </c>
      <c r="B6" t="s">
        <v>32</v>
      </c>
      <c r="C6" t="s">
        <v>99</v>
      </c>
      <c r="D6" s="5">
        <v>1</v>
      </c>
      <c r="E6" t="str">
        <f>IFERROR(VLOOKUP(B6,Projects!A:C,3,FALSE),"")</f>
        <v>NPD</v>
      </c>
      <c r="F6">
        <v>120</v>
      </c>
    </row>
    <row r="7" spans="1:6" x14ac:dyDescent="0.25">
      <c r="A7" s="4">
        <v>46023</v>
      </c>
      <c r="B7" t="s">
        <v>34</v>
      </c>
      <c r="C7" t="s">
        <v>100</v>
      </c>
      <c r="D7" s="5">
        <v>1</v>
      </c>
      <c r="E7" t="str">
        <f>IFERROR(VLOOKUP(B7,Projects!A:C,3,FALSE),"")</f>
        <v>NPD</v>
      </c>
      <c r="F7">
        <v>120</v>
      </c>
    </row>
    <row r="8" spans="1:6" x14ac:dyDescent="0.25">
      <c r="A8" s="4">
        <v>46023</v>
      </c>
      <c r="B8" t="s">
        <v>36</v>
      </c>
      <c r="C8" t="s">
        <v>95</v>
      </c>
      <c r="D8" s="5">
        <v>1</v>
      </c>
      <c r="E8" t="str">
        <f>IFERROR(VLOOKUP(B8,Projects!A:C,3,FALSE),"")</f>
        <v>NPD</v>
      </c>
      <c r="F8">
        <v>10</v>
      </c>
    </row>
    <row r="9" spans="1:6" x14ac:dyDescent="0.25">
      <c r="A9" s="4">
        <v>46023</v>
      </c>
      <c r="B9" t="s">
        <v>38</v>
      </c>
      <c r="C9" t="s">
        <v>100</v>
      </c>
      <c r="D9" s="5">
        <v>1</v>
      </c>
      <c r="E9" t="str">
        <f>IFERROR(VLOOKUP(B9,Projects!A:C,3,FALSE),"")</f>
        <v>NPD</v>
      </c>
      <c r="F9">
        <v>10</v>
      </c>
    </row>
    <row r="10" spans="1:6" x14ac:dyDescent="0.25">
      <c r="A10" s="4">
        <v>46023</v>
      </c>
      <c r="B10" t="s">
        <v>40</v>
      </c>
      <c r="D10" s="5"/>
      <c r="E10" t="str">
        <f>IFERROR(VLOOKUP(B10,Projects!A:C,3,FALSE),"")</f>
        <v>NPD</v>
      </c>
    </row>
    <row r="11" spans="1:6" x14ac:dyDescent="0.25">
      <c r="A11" s="4">
        <v>46023</v>
      </c>
      <c r="B11" t="s">
        <v>42</v>
      </c>
      <c r="C11" t="s">
        <v>98</v>
      </c>
      <c r="D11" s="5">
        <v>1</v>
      </c>
      <c r="E11" t="str">
        <f>IFERROR(VLOOKUP(B11,Projects!A:C,3,FALSE),"")</f>
        <v>NPD</v>
      </c>
      <c r="F11">
        <v>120</v>
      </c>
    </row>
    <row r="12" spans="1:6" x14ac:dyDescent="0.25">
      <c r="A12" s="4">
        <v>46023</v>
      </c>
      <c r="B12" t="s">
        <v>44</v>
      </c>
      <c r="C12" t="s">
        <v>97</v>
      </c>
      <c r="D12" s="5">
        <v>1</v>
      </c>
      <c r="E12" t="str">
        <f>IFERROR(VLOOKUP(B12,Projects!A:C,3,FALSE),"")</f>
        <v>NPD</v>
      </c>
      <c r="F12">
        <v>60</v>
      </c>
    </row>
    <row r="13" spans="1:6" x14ac:dyDescent="0.25">
      <c r="A13" s="4">
        <v>46023</v>
      </c>
      <c r="B13" t="s">
        <v>46</v>
      </c>
      <c r="C13" t="s">
        <v>101</v>
      </c>
      <c r="D13" s="5">
        <v>1</v>
      </c>
      <c r="E13" t="str">
        <f>IFERROR(VLOOKUP(B13,Projects!A:C,3,FALSE),"")</f>
        <v>NPD</v>
      </c>
      <c r="F13">
        <v>60</v>
      </c>
    </row>
    <row r="14" spans="1:6" x14ac:dyDescent="0.25">
      <c r="A14" s="4">
        <v>46023</v>
      </c>
      <c r="B14" t="s">
        <v>52</v>
      </c>
      <c r="C14" t="s">
        <v>97</v>
      </c>
      <c r="D14" s="5">
        <v>1</v>
      </c>
      <c r="E14" t="str">
        <f>IFERROR(VLOOKUP(B14,Projects!A:C,3,FALSE),"")</f>
        <v>Sustaining</v>
      </c>
      <c r="F14">
        <v>10</v>
      </c>
    </row>
    <row r="15" spans="1:6" x14ac:dyDescent="0.25">
      <c r="A15" s="4">
        <v>46023</v>
      </c>
      <c r="B15" t="s">
        <v>56</v>
      </c>
      <c r="C15" t="s">
        <v>101</v>
      </c>
      <c r="D15" s="5">
        <v>1</v>
      </c>
      <c r="E15" t="str">
        <f>IFERROR(VLOOKUP(B15,Projects!A:C,3,FALSE),"")</f>
        <v>Sustaining</v>
      </c>
      <c r="F15">
        <v>60</v>
      </c>
    </row>
    <row r="16" spans="1:6" x14ac:dyDescent="0.25">
      <c r="A16" s="4">
        <v>46023</v>
      </c>
      <c r="B16" t="s">
        <v>90</v>
      </c>
      <c r="C16" t="s">
        <v>96</v>
      </c>
      <c r="D16" s="5">
        <v>1</v>
      </c>
      <c r="E16" t="str">
        <f>IFERROR(VLOOKUP(B16,Projects!A:C,3,FALSE),"")</f>
        <v>Sprint</v>
      </c>
      <c r="F16">
        <v>10</v>
      </c>
    </row>
  </sheetData>
  <dataValidations count="2">
    <dataValidation type="decimal" sqref="D2:D1048576" xr:uid="{00000000-0002-0000-0700-000000000000}">
      <formula1>0</formula1>
      <formula2>1</formula2>
    </dataValidation>
    <dataValidation type="decimal" allowBlank="1" sqref="D2:D1048576" xr:uid="{00000000-0002-0000-0700-000001000000}">
      <formula1>0</formula1>
      <formula2>1</formula2>
    </dataValidation>
  </dataValidation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8"/>
  <sheetViews>
    <sheetView workbookViewId="0">
      <pane ySplit="1" topLeftCell="A2" activePane="bottomLeft" state="frozen"/>
      <selection pane="bottomLeft" activeCell="C24" sqref="C24:F25"/>
    </sheetView>
  </sheetViews>
  <sheetFormatPr defaultRowHeight="15" x14ac:dyDescent="0.25"/>
  <cols>
    <col min="1" max="1" width="14" customWidth="1"/>
    <col min="2" max="2" width="12" customWidth="1"/>
    <col min="3" max="3" width="14" customWidth="1"/>
    <col min="4" max="4" width="22.28515625" bestFit="1" customWidth="1"/>
    <col min="5" max="6" width="14" customWidth="1"/>
  </cols>
  <sheetData>
    <row r="1" spans="1:6" x14ac:dyDescent="0.25">
      <c r="A1" s="3" t="s">
        <v>3</v>
      </c>
      <c r="B1" s="3" t="s">
        <v>18</v>
      </c>
      <c r="C1" s="3" t="s">
        <v>93</v>
      </c>
      <c r="D1" s="3" t="s">
        <v>21</v>
      </c>
      <c r="E1" s="3" t="s">
        <v>122</v>
      </c>
      <c r="F1" s="3" t="s">
        <v>124</v>
      </c>
    </row>
    <row r="2" spans="1:6" x14ac:dyDescent="0.25">
      <c r="A2" s="4">
        <v>46023</v>
      </c>
      <c r="B2" t="s">
        <v>30</v>
      </c>
      <c r="C2" t="s">
        <v>95</v>
      </c>
      <c r="D2" t="str">
        <f>IFERROR(VLOOKUP(B2,Projects!A:D,4,FALSE),"")</f>
        <v>Planned</v>
      </c>
      <c r="E2" t="str">
        <f>IFERROR(VLOOKUP(B2,Projects!A:C,3,FALSE),"")</f>
        <v>NPD</v>
      </c>
      <c r="F2">
        <v>166</v>
      </c>
    </row>
    <row r="3" spans="1:6" x14ac:dyDescent="0.25">
      <c r="A3" s="4">
        <v>46023</v>
      </c>
      <c r="B3" t="s">
        <v>58</v>
      </c>
      <c r="C3" t="s">
        <v>95</v>
      </c>
      <c r="D3" t="str">
        <f>IFERROR(VLOOKUP(B3,Projects!A:D,4,FALSE),"")</f>
        <v>Planned</v>
      </c>
      <c r="E3" t="str">
        <f>IFERROR(VLOOKUP(B3,Projects!A:C,3,FALSE),"")</f>
        <v>Out of Office</v>
      </c>
      <c r="F3">
        <v>8</v>
      </c>
    </row>
    <row r="4" spans="1:6" x14ac:dyDescent="0.25">
      <c r="A4" s="4">
        <v>46023</v>
      </c>
      <c r="B4" t="s">
        <v>61</v>
      </c>
      <c r="C4" t="s">
        <v>95</v>
      </c>
      <c r="D4" t="str">
        <f>IFERROR(VLOOKUP(B4,Projects!A:D,4,FALSE),"")</f>
        <v>Planned</v>
      </c>
      <c r="E4" t="str">
        <f>IFERROR(VLOOKUP(B4,Projects!A:C,3,FALSE),"")</f>
        <v>Admin</v>
      </c>
      <c r="F4">
        <v>2</v>
      </c>
    </row>
    <row r="5" spans="1:6" x14ac:dyDescent="0.25">
      <c r="A5" s="4">
        <v>46023</v>
      </c>
      <c r="B5" t="s">
        <v>44</v>
      </c>
      <c r="C5" t="s">
        <v>97</v>
      </c>
      <c r="D5" t="str">
        <f>IFERROR(VLOOKUP(B5,Projects!A:D,4,FALSE),"")</f>
        <v>Planned</v>
      </c>
      <c r="E5" t="str">
        <f>IFERROR(VLOOKUP(B5,Projects!A:C,3,FALSE),"")</f>
        <v>NPD</v>
      </c>
      <c r="F5">
        <v>42.75</v>
      </c>
    </row>
    <row r="6" spans="1:6" x14ac:dyDescent="0.25">
      <c r="A6" s="4">
        <v>46023</v>
      </c>
      <c r="B6" t="s">
        <v>64</v>
      </c>
      <c r="C6" t="s">
        <v>97</v>
      </c>
      <c r="D6" t="str">
        <f>IFERROR(VLOOKUP(B6,Projects!A:D,4,FALSE),"")</f>
        <v>Planned</v>
      </c>
      <c r="E6" t="str">
        <f>IFERROR(VLOOKUP(B6,Projects!A:C,3,FALSE),"")</f>
        <v>Sustaining</v>
      </c>
      <c r="F6">
        <v>27</v>
      </c>
    </row>
    <row r="7" spans="1:6" x14ac:dyDescent="0.25">
      <c r="A7" s="4">
        <v>46023</v>
      </c>
      <c r="B7" t="s">
        <v>66</v>
      </c>
      <c r="C7" t="s">
        <v>97</v>
      </c>
      <c r="D7" t="str">
        <f>IFERROR(VLOOKUP(B7,Projects!A:D,4,FALSE),"")</f>
        <v>Unplanned/Firefighting</v>
      </c>
      <c r="E7" t="str">
        <f>IFERROR(VLOOKUP(B7,Projects!A:C,3,FALSE),"")</f>
        <v>Sustaining</v>
      </c>
      <c r="F7">
        <v>19.75</v>
      </c>
    </row>
    <row r="8" spans="1:6" x14ac:dyDescent="0.25">
      <c r="A8" s="4">
        <v>46023</v>
      </c>
      <c r="B8" t="s">
        <v>61</v>
      </c>
      <c r="C8" t="s">
        <v>97</v>
      </c>
      <c r="D8" t="str">
        <f>IFERROR(VLOOKUP(B8,Projects!A:D,4,FALSE),"")</f>
        <v>Planned</v>
      </c>
      <c r="E8" t="str">
        <f>IFERROR(VLOOKUP(B8,Projects!A:C,3,FALSE),"")</f>
        <v>Admin</v>
      </c>
      <c r="F8">
        <v>18.5</v>
      </c>
    </row>
    <row r="9" spans="1:6" x14ac:dyDescent="0.25">
      <c r="A9" s="4">
        <v>46023</v>
      </c>
      <c r="B9" t="s">
        <v>58</v>
      </c>
      <c r="C9" t="s">
        <v>97</v>
      </c>
      <c r="D9" t="str">
        <f>IFERROR(VLOOKUP(B9,Projects!A:D,4,FALSE),"")</f>
        <v>Planned</v>
      </c>
      <c r="E9" t="str">
        <f>IFERROR(VLOOKUP(B9,Projects!A:C,3,FALSE),"")</f>
        <v>Out of Office</v>
      </c>
      <c r="F9">
        <v>16</v>
      </c>
    </row>
    <row r="10" spans="1:6" x14ac:dyDescent="0.25">
      <c r="A10" s="4">
        <v>46023</v>
      </c>
      <c r="B10" t="s">
        <v>56</v>
      </c>
      <c r="C10" t="s">
        <v>97</v>
      </c>
      <c r="D10" t="str">
        <f>IFERROR(VLOOKUP(B10,Projects!A:D,4,FALSE),"")</f>
        <v>Planned</v>
      </c>
      <c r="E10" t="str">
        <f>IFERROR(VLOOKUP(B10,Projects!A:C,3,FALSE),"")</f>
        <v>Sustaining</v>
      </c>
      <c r="F10">
        <v>13.75</v>
      </c>
    </row>
    <row r="11" spans="1:6" x14ac:dyDescent="0.25">
      <c r="A11" s="4">
        <v>46023</v>
      </c>
      <c r="B11" t="s">
        <v>68</v>
      </c>
      <c r="C11" t="s">
        <v>97</v>
      </c>
      <c r="D11" t="str">
        <f>IFERROR(VLOOKUP(B11,Projects!A:D,4,FALSE),"")</f>
        <v>Unplanned/Firefighting</v>
      </c>
      <c r="E11" t="str">
        <f>IFERROR(VLOOKUP(B11,Projects!A:C,3,FALSE),"")</f>
        <v>Sustaining</v>
      </c>
      <c r="F11">
        <v>8</v>
      </c>
    </row>
    <row r="12" spans="1:6" x14ac:dyDescent="0.25">
      <c r="A12" s="4">
        <v>46023</v>
      </c>
      <c r="B12" t="s">
        <v>70</v>
      </c>
      <c r="C12" t="s">
        <v>97</v>
      </c>
      <c r="D12" t="str">
        <f>IFERROR(VLOOKUP(B12,Projects!A:D,4,FALSE),"")</f>
        <v>Unplanned/Firefighting</v>
      </c>
      <c r="E12" t="str">
        <f>IFERROR(VLOOKUP(B12,Projects!A:C,3,FALSE),"")</f>
        <v>Sustaining</v>
      </c>
      <c r="F12">
        <v>6.5</v>
      </c>
    </row>
    <row r="13" spans="1:6" x14ac:dyDescent="0.25">
      <c r="A13" s="4">
        <v>46023</v>
      </c>
      <c r="B13" t="s">
        <v>72</v>
      </c>
      <c r="C13" t="s">
        <v>97</v>
      </c>
      <c r="D13" t="str">
        <f>IFERROR(VLOOKUP(B13,Projects!A:D,4,FALSE),"")</f>
        <v>Unplanned/Firefighting</v>
      </c>
      <c r="E13" t="str">
        <f>IFERROR(VLOOKUP(B13,Projects!A:C,3,FALSE),"")</f>
        <v>Sustaining</v>
      </c>
      <c r="F13">
        <v>6.5</v>
      </c>
    </row>
    <row r="14" spans="1:6" x14ac:dyDescent="0.25">
      <c r="A14" s="4">
        <v>46023</v>
      </c>
      <c r="B14" t="s">
        <v>74</v>
      </c>
      <c r="C14" t="s">
        <v>97</v>
      </c>
      <c r="D14" t="str">
        <f>IFERROR(VLOOKUP(B14,Projects!A:D,4,FALSE),"")</f>
        <v>Planned</v>
      </c>
      <c r="E14" t="str">
        <f>IFERROR(VLOOKUP(B14,Projects!A:C,3,FALSE),"")</f>
        <v>Sustaining</v>
      </c>
      <c r="F14">
        <v>4.5</v>
      </c>
    </row>
    <row r="15" spans="1:6" x14ac:dyDescent="0.25">
      <c r="A15" s="4">
        <v>46023</v>
      </c>
      <c r="B15" t="s">
        <v>76</v>
      </c>
      <c r="C15" t="s">
        <v>97</v>
      </c>
      <c r="D15" t="str">
        <f>IFERROR(VLOOKUP(B15,Projects!A:D,4,FALSE),"")</f>
        <v>Planned</v>
      </c>
      <c r="E15" t="str">
        <f>IFERROR(VLOOKUP(B15,Projects!A:C,3,FALSE),"")</f>
        <v>Sustaining</v>
      </c>
      <c r="F15">
        <v>4</v>
      </c>
    </row>
    <row r="16" spans="1:6" x14ac:dyDescent="0.25">
      <c r="A16" s="4">
        <v>46023</v>
      </c>
      <c r="B16" t="s">
        <v>28</v>
      </c>
      <c r="C16" t="s">
        <v>97</v>
      </c>
      <c r="D16" t="str">
        <f>IFERROR(VLOOKUP(B16,Projects!A:D,4,FALSE),"")</f>
        <v>Planned</v>
      </c>
      <c r="E16" t="str">
        <f>IFERROR(VLOOKUP(B16,Projects!A:C,3,FALSE),"")</f>
        <v>NPD</v>
      </c>
      <c r="F16">
        <v>3</v>
      </c>
    </row>
    <row r="17" spans="1:6" x14ac:dyDescent="0.25">
      <c r="A17" s="4">
        <v>46023</v>
      </c>
      <c r="B17" t="s">
        <v>52</v>
      </c>
      <c r="C17" t="s">
        <v>97</v>
      </c>
      <c r="D17" t="str">
        <f>IFERROR(VLOOKUP(B17,Projects!A:D,4,FALSE),"")</f>
        <v>Planned</v>
      </c>
      <c r="E17" t="str">
        <f>IFERROR(VLOOKUP(B17,Projects!A:C,3,FALSE),"")</f>
        <v>Sustaining</v>
      </c>
      <c r="F17">
        <v>2</v>
      </c>
    </row>
    <row r="18" spans="1:6" x14ac:dyDescent="0.25">
      <c r="A18" s="4">
        <v>46023</v>
      </c>
      <c r="B18" t="s">
        <v>54</v>
      </c>
      <c r="C18" t="s">
        <v>97</v>
      </c>
      <c r="D18" t="str">
        <f>IFERROR(VLOOKUP(B18,Projects!A:D,4,FALSE),"")</f>
        <v>Planned</v>
      </c>
      <c r="E18" t="str">
        <f>IFERROR(VLOOKUP(B18,Projects!A:C,3,FALSE),"")</f>
        <v>Sustaining</v>
      </c>
      <c r="F18">
        <v>2</v>
      </c>
    </row>
    <row r="19" spans="1:6" x14ac:dyDescent="0.25">
      <c r="A19" s="4">
        <v>46023</v>
      </c>
      <c r="B19" t="s">
        <v>79</v>
      </c>
      <c r="C19" t="s">
        <v>97</v>
      </c>
      <c r="D19" t="str">
        <f>IFERROR(VLOOKUP(B19,Projects!A:D,4,FALSE),"")</f>
        <v>Unplanned/Firefighting</v>
      </c>
      <c r="E19" t="str">
        <f>IFERROR(VLOOKUP(B19,Projects!A:C,3,FALSE),"")</f>
        <v>Sustaining</v>
      </c>
      <c r="F19">
        <v>1.5</v>
      </c>
    </row>
    <row r="20" spans="1:6" x14ac:dyDescent="0.25">
      <c r="A20" s="4">
        <v>46023</v>
      </c>
      <c r="B20" t="s">
        <v>81</v>
      </c>
      <c r="C20" t="s">
        <v>97</v>
      </c>
      <c r="D20" t="str">
        <f>IFERROR(VLOOKUP(B20,Projects!A:D,4,FALSE),"")</f>
        <v>Unplanned/Firefighting</v>
      </c>
      <c r="E20" t="str">
        <f>IFERROR(VLOOKUP(B20,Projects!A:C,3,FALSE),"")</f>
        <v>Sustaining</v>
      </c>
      <c r="F20">
        <v>0.25</v>
      </c>
    </row>
    <row r="21" spans="1:6" x14ac:dyDescent="0.25">
      <c r="A21" s="4">
        <v>46023</v>
      </c>
      <c r="B21" t="s">
        <v>42</v>
      </c>
      <c r="C21" t="s">
        <v>98</v>
      </c>
      <c r="D21" t="str">
        <f>IFERROR(VLOOKUP(B21,Projects!A:D,4,FALSE),"")</f>
        <v>Planned</v>
      </c>
      <c r="E21" t="str">
        <f>IFERROR(VLOOKUP(B21,Projects!A:C,3,FALSE),"")</f>
        <v>NPD</v>
      </c>
      <c r="F21">
        <v>143.5</v>
      </c>
    </row>
    <row r="22" spans="1:6" x14ac:dyDescent="0.25">
      <c r="A22" s="4">
        <v>46023</v>
      </c>
      <c r="B22" t="s">
        <v>61</v>
      </c>
      <c r="C22" t="s">
        <v>98</v>
      </c>
      <c r="D22" t="str">
        <f>IFERROR(VLOOKUP(B22,Projects!A:D,4,FALSE),"")</f>
        <v>Planned</v>
      </c>
      <c r="E22" t="str">
        <f>IFERROR(VLOOKUP(B22,Projects!A:C,3,FALSE),"")</f>
        <v>Admin</v>
      </c>
      <c r="F22">
        <v>21.5</v>
      </c>
    </row>
    <row r="23" spans="1:6" x14ac:dyDescent="0.25">
      <c r="A23" s="4">
        <v>46023</v>
      </c>
      <c r="B23" t="s">
        <v>83</v>
      </c>
      <c r="C23" t="s">
        <v>98</v>
      </c>
      <c r="D23" t="str">
        <f>IFERROR(VLOOKUP(B23,Projects!A:D,4,FALSE),"")</f>
        <v>Unplanned/Firefighting</v>
      </c>
      <c r="E23" t="str">
        <f>IFERROR(VLOOKUP(B23,Projects!A:C,3,FALSE),"")</f>
        <v>Sustaining</v>
      </c>
      <c r="F23">
        <v>3</v>
      </c>
    </row>
    <row r="24" spans="1:6" x14ac:dyDescent="0.25">
      <c r="A24" s="4">
        <v>46023</v>
      </c>
      <c r="B24" t="s">
        <v>32</v>
      </c>
      <c r="C24" t="s">
        <v>99</v>
      </c>
      <c r="D24" t="str">
        <f>IFERROR(VLOOKUP(B24,Projects!A:D,4,FALSE),"")</f>
        <v>Planned</v>
      </c>
      <c r="E24" t="str">
        <f>IFERROR(VLOOKUP(B24,Projects!A:C,3,FALSE),"")</f>
        <v>NPD</v>
      </c>
      <c r="F24">
        <v>71.5</v>
      </c>
    </row>
    <row r="25" spans="1:6" x14ac:dyDescent="0.25">
      <c r="A25" s="4">
        <v>46023</v>
      </c>
      <c r="B25" t="s">
        <v>30</v>
      </c>
      <c r="C25" t="s">
        <v>99</v>
      </c>
      <c r="D25" t="str">
        <f>IFERROR(VLOOKUP(B25,Projects!A:D,4,FALSE),"")</f>
        <v>Planned</v>
      </c>
      <c r="E25" t="str">
        <f>IFERROR(VLOOKUP(B25,Projects!A:C,3,FALSE),"")</f>
        <v>NPD</v>
      </c>
      <c r="F25">
        <v>45.75</v>
      </c>
    </row>
    <row r="26" spans="1:6" x14ac:dyDescent="0.25">
      <c r="A26" s="4">
        <v>46023</v>
      </c>
      <c r="B26" t="s">
        <v>58</v>
      </c>
      <c r="C26" t="s">
        <v>99</v>
      </c>
      <c r="D26" t="str">
        <f>IFERROR(VLOOKUP(B26,Projects!A:D,4,FALSE),"")</f>
        <v>Planned</v>
      </c>
      <c r="E26" t="str">
        <f>IFERROR(VLOOKUP(B26,Projects!A:C,3,FALSE),"")</f>
        <v>Out of Office</v>
      </c>
      <c r="F26">
        <v>28</v>
      </c>
    </row>
    <row r="27" spans="1:6" x14ac:dyDescent="0.25">
      <c r="A27" s="4">
        <v>46023</v>
      </c>
      <c r="B27" t="s">
        <v>22</v>
      </c>
      <c r="C27" t="s">
        <v>99</v>
      </c>
      <c r="D27" t="str">
        <f>IFERROR(VLOOKUP(B27,Projects!A:D,4,FALSE),"")</f>
        <v>Planned</v>
      </c>
      <c r="E27" t="str">
        <f>IFERROR(VLOOKUP(B27,Projects!A:C,3,FALSE),"")</f>
        <v>NPD</v>
      </c>
      <c r="F27">
        <v>22.5</v>
      </c>
    </row>
    <row r="28" spans="1:6" x14ac:dyDescent="0.25">
      <c r="A28" s="4">
        <v>46023</v>
      </c>
      <c r="B28" t="s">
        <v>61</v>
      </c>
      <c r="C28" t="s">
        <v>99</v>
      </c>
      <c r="D28" t="str">
        <f>IFERROR(VLOOKUP(B28,Projects!A:D,4,FALSE),"")</f>
        <v>Planned</v>
      </c>
      <c r="E28" t="str">
        <f>IFERROR(VLOOKUP(B28,Projects!A:C,3,FALSE),"")</f>
        <v>Admin</v>
      </c>
      <c r="F28">
        <v>14</v>
      </c>
    </row>
    <row r="29" spans="1:6" x14ac:dyDescent="0.25">
      <c r="A29" s="4">
        <v>46023</v>
      </c>
      <c r="B29" t="s">
        <v>26</v>
      </c>
      <c r="C29" t="s">
        <v>99</v>
      </c>
      <c r="D29" t="str">
        <f>IFERROR(VLOOKUP(B29,Projects!A:D,4,FALSE),"")</f>
        <v>Planned</v>
      </c>
      <c r="E29" t="str">
        <f>IFERROR(VLOOKUP(B29,Projects!A:C,3,FALSE),"")</f>
        <v>NPD</v>
      </c>
      <c r="F29">
        <v>22.5</v>
      </c>
    </row>
    <row r="30" spans="1:6" x14ac:dyDescent="0.25">
      <c r="A30" s="4">
        <v>46023</v>
      </c>
      <c r="B30" t="s">
        <v>85</v>
      </c>
      <c r="C30" t="s">
        <v>99</v>
      </c>
      <c r="D30" t="str">
        <f>IFERROR(VLOOKUP(B30,Projects!A:D,4,FALSE),"")</f>
        <v>Unplanned/Firefighting</v>
      </c>
      <c r="E30" t="str">
        <f>IFERROR(VLOOKUP(B30,Projects!A:C,3,FALSE),"")</f>
        <v>Sustaining</v>
      </c>
      <c r="F30">
        <v>1</v>
      </c>
    </row>
    <row r="31" spans="1:6" x14ac:dyDescent="0.25">
      <c r="A31" s="4">
        <v>46023</v>
      </c>
      <c r="B31" t="s">
        <v>38</v>
      </c>
      <c r="C31" t="s">
        <v>100</v>
      </c>
      <c r="D31" t="str">
        <f>IFERROR(VLOOKUP(B31,Projects!A:D,4,FALSE),"")</f>
        <v>Planned</v>
      </c>
      <c r="E31" t="str">
        <f>IFERROR(VLOOKUP(B31,Projects!A:C,3,FALSE),"")</f>
        <v>NPD</v>
      </c>
      <c r="F31">
        <v>58.5</v>
      </c>
    </row>
    <row r="32" spans="1:6" x14ac:dyDescent="0.25">
      <c r="A32" s="4">
        <v>46023</v>
      </c>
      <c r="B32" t="s">
        <v>34</v>
      </c>
      <c r="C32" t="s">
        <v>100</v>
      </c>
      <c r="D32" t="str">
        <f>IFERROR(VLOOKUP(B32,Projects!A:D,4,FALSE),"")</f>
        <v>Planned</v>
      </c>
      <c r="E32" t="str">
        <f>IFERROR(VLOOKUP(B32,Projects!A:C,3,FALSE),"")</f>
        <v>NPD</v>
      </c>
      <c r="F32">
        <v>39.5</v>
      </c>
    </row>
    <row r="33" spans="1:6" x14ac:dyDescent="0.25">
      <c r="A33" s="4">
        <v>46023</v>
      </c>
      <c r="B33" t="s">
        <v>30</v>
      </c>
      <c r="C33" t="s">
        <v>100</v>
      </c>
      <c r="D33" t="str">
        <f>IFERROR(VLOOKUP(B33,Projects!A:D,4,FALSE),"")</f>
        <v>Planned</v>
      </c>
      <c r="E33" t="str">
        <f>IFERROR(VLOOKUP(B33,Projects!A:C,3,FALSE),"")</f>
        <v>NPD</v>
      </c>
      <c r="F33">
        <v>23.5</v>
      </c>
    </row>
    <row r="34" spans="1:6" x14ac:dyDescent="0.25">
      <c r="A34" s="4">
        <v>46023</v>
      </c>
      <c r="B34" t="s">
        <v>48</v>
      </c>
      <c r="C34" t="s">
        <v>100</v>
      </c>
      <c r="D34" t="str">
        <f>IFERROR(VLOOKUP(B34,Projects!A:D,4,FALSE),"")</f>
        <v>Unplanned/Firefighting</v>
      </c>
      <c r="E34" t="str">
        <f>IFERROR(VLOOKUP(B34,Projects!A:C,3,FALSE),"")</f>
        <v>Sustaining</v>
      </c>
      <c r="F34">
        <v>20</v>
      </c>
    </row>
    <row r="35" spans="1:6" x14ac:dyDescent="0.25">
      <c r="A35" s="4">
        <v>46023</v>
      </c>
      <c r="B35" t="s">
        <v>61</v>
      </c>
      <c r="C35" t="s">
        <v>100</v>
      </c>
      <c r="D35" t="str">
        <f>IFERROR(VLOOKUP(B35,Projects!A:D,4,FALSE),"")</f>
        <v>Planned</v>
      </c>
      <c r="E35" t="str">
        <f>IFERROR(VLOOKUP(B35,Projects!A:C,3,FALSE),"")</f>
        <v>Admin</v>
      </c>
      <c r="F35">
        <v>17.5</v>
      </c>
    </row>
    <row r="36" spans="1:6" x14ac:dyDescent="0.25">
      <c r="A36" s="4">
        <v>46023</v>
      </c>
      <c r="B36" t="s">
        <v>58</v>
      </c>
      <c r="C36" t="s">
        <v>100</v>
      </c>
      <c r="D36" t="str">
        <f>IFERROR(VLOOKUP(B36,Projects!A:D,4,FALSE),"")</f>
        <v>Planned</v>
      </c>
      <c r="E36" t="str">
        <f>IFERROR(VLOOKUP(B36,Projects!A:C,3,FALSE),"")</f>
        <v>Out of Office</v>
      </c>
      <c r="F36">
        <v>8</v>
      </c>
    </row>
    <row r="37" spans="1:6" x14ac:dyDescent="0.25">
      <c r="A37" s="4">
        <v>46023</v>
      </c>
      <c r="B37" t="s">
        <v>88</v>
      </c>
      <c r="C37" t="s">
        <v>100</v>
      </c>
      <c r="D37" t="str">
        <f>IFERROR(VLOOKUP(B37,Projects!A:D,4,FALSE),"")</f>
        <v>Planned</v>
      </c>
      <c r="E37" t="str">
        <f>IFERROR(VLOOKUP(B37,Projects!A:C,3,FALSE),"")</f>
        <v>Sustaining</v>
      </c>
      <c r="F37">
        <v>3</v>
      </c>
    </row>
    <row r="38" spans="1:6" x14ac:dyDescent="0.25">
      <c r="A38" s="4">
        <v>46023</v>
      </c>
      <c r="B38" t="s">
        <v>64</v>
      </c>
      <c r="C38" t="s">
        <v>100</v>
      </c>
      <c r="D38" t="str">
        <f>IFERROR(VLOOKUP(B38,Projects!A:D,4,FALSE),"")</f>
        <v>Planned</v>
      </c>
      <c r="E38" t="str">
        <f>IFERROR(VLOOKUP(B38,Projects!A:C,3,FALSE),"")</f>
        <v>Sustaining</v>
      </c>
      <c r="F38">
        <v>3</v>
      </c>
    </row>
    <row r="39" spans="1:6" x14ac:dyDescent="0.25">
      <c r="A39" s="4">
        <v>46023</v>
      </c>
      <c r="B39" t="s">
        <v>83</v>
      </c>
      <c r="C39" t="s">
        <v>100</v>
      </c>
      <c r="D39" t="str">
        <f>IFERROR(VLOOKUP(B39,Projects!A:D,4,FALSE),"")</f>
        <v>Unplanned/Firefighting</v>
      </c>
      <c r="E39" t="str">
        <f>IFERROR(VLOOKUP(B39,Projects!A:C,3,FALSE),"")</f>
        <v>Sustaining</v>
      </c>
      <c r="F39">
        <v>2</v>
      </c>
    </row>
    <row r="40" spans="1:6" x14ac:dyDescent="0.25">
      <c r="A40" s="4">
        <v>46023</v>
      </c>
      <c r="B40" t="s">
        <v>38</v>
      </c>
      <c r="C40" t="s">
        <v>100</v>
      </c>
      <c r="D40" t="str">
        <f>IFERROR(VLOOKUP(B40,Projects!A:D,4,FALSE),"")</f>
        <v>Planned</v>
      </c>
      <c r="E40" t="str">
        <f>IFERROR(VLOOKUP(B40,Projects!A:C,3,FALSE),"")</f>
        <v>NPD</v>
      </c>
      <c r="F40">
        <v>1</v>
      </c>
    </row>
    <row r="41" spans="1:6" x14ac:dyDescent="0.25">
      <c r="A41" s="4">
        <v>46023</v>
      </c>
      <c r="B41" t="s">
        <v>56</v>
      </c>
      <c r="C41" t="s">
        <v>101</v>
      </c>
      <c r="D41" t="str">
        <f>IFERROR(VLOOKUP(B41,Projects!A:D,4,FALSE),"")</f>
        <v>Planned</v>
      </c>
      <c r="E41" t="str">
        <f>IFERROR(VLOOKUP(B41,Projects!A:C,3,FALSE),"")</f>
        <v>Sustaining</v>
      </c>
      <c r="F41">
        <v>57</v>
      </c>
    </row>
    <row r="42" spans="1:6" x14ac:dyDescent="0.25">
      <c r="A42" s="4">
        <v>46023</v>
      </c>
      <c r="B42" t="s">
        <v>58</v>
      </c>
      <c r="C42" t="s">
        <v>101</v>
      </c>
      <c r="D42" t="str">
        <f>IFERROR(VLOOKUP(B42,Projects!A:D,4,FALSE),"")</f>
        <v>Planned</v>
      </c>
      <c r="E42" t="str">
        <f>IFERROR(VLOOKUP(B42,Projects!A:C,3,FALSE),"")</f>
        <v>Out of Office</v>
      </c>
      <c r="F42">
        <v>36</v>
      </c>
    </row>
    <row r="43" spans="1:6" x14ac:dyDescent="0.25">
      <c r="A43" s="4">
        <v>46023</v>
      </c>
      <c r="B43" t="s">
        <v>46</v>
      </c>
      <c r="C43" t="s">
        <v>101</v>
      </c>
      <c r="D43" t="str">
        <f>IFERROR(VLOOKUP(B43,Projects!A:D,4,FALSE),"")</f>
        <v>Planned</v>
      </c>
      <c r="E43" t="str">
        <f>IFERROR(VLOOKUP(B43,Projects!A:C,3,FALSE),"")</f>
        <v>NPD</v>
      </c>
      <c r="F43">
        <v>30</v>
      </c>
    </row>
    <row r="44" spans="1:6" x14ac:dyDescent="0.25">
      <c r="A44" s="4">
        <v>46023</v>
      </c>
      <c r="B44" t="s">
        <v>66</v>
      </c>
      <c r="C44" t="s">
        <v>101</v>
      </c>
      <c r="D44" t="str">
        <f>IFERROR(VLOOKUP(B44,Projects!A:D,4,FALSE),"")</f>
        <v>Unplanned/Firefighting</v>
      </c>
      <c r="E44" t="str">
        <f>IFERROR(VLOOKUP(B44,Projects!A:C,3,FALSE),"")</f>
        <v>Sustaining</v>
      </c>
      <c r="F44">
        <v>17</v>
      </c>
    </row>
    <row r="45" spans="1:6" x14ac:dyDescent="0.25">
      <c r="A45" s="4">
        <v>46023</v>
      </c>
      <c r="B45" t="s">
        <v>72</v>
      </c>
      <c r="C45" t="s">
        <v>101</v>
      </c>
      <c r="D45" t="str">
        <f>IFERROR(VLOOKUP(B45,Projects!A:D,4,FALSE),"")</f>
        <v>Unplanned/Firefighting</v>
      </c>
      <c r="E45" t="str">
        <f>IFERROR(VLOOKUP(B45,Projects!A:C,3,FALSE),"")</f>
        <v>Sustaining</v>
      </c>
      <c r="F45">
        <v>16</v>
      </c>
    </row>
    <row r="46" spans="1:6" x14ac:dyDescent="0.25">
      <c r="A46" s="4">
        <v>46023</v>
      </c>
      <c r="B46" t="s">
        <v>76</v>
      </c>
      <c r="C46" t="s">
        <v>101</v>
      </c>
      <c r="D46" t="str">
        <f>IFERROR(VLOOKUP(B46,Projects!A:D,4,FALSE),"")</f>
        <v>Planned</v>
      </c>
      <c r="E46" t="str">
        <f>IFERROR(VLOOKUP(B46,Projects!A:C,3,FALSE),"")</f>
        <v>Sustaining</v>
      </c>
      <c r="F46">
        <v>13.5</v>
      </c>
    </row>
    <row r="47" spans="1:6" x14ac:dyDescent="0.25">
      <c r="A47" s="4">
        <v>46023</v>
      </c>
      <c r="B47" t="s">
        <v>61</v>
      </c>
      <c r="C47" t="s">
        <v>101</v>
      </c>
      <c r="D47" t="str">
        <f>IFERROR(VLOOKUP(B47,Projects!A:D,4,FALSE),"")</f>
        <v>Planned</v>
      </c>
      <c r="E47" t="str">
        <f>IFERROR(VLOOKUP(B47,Projects!A:C,3,FALSE),"")</f>
        <v>Admin</v>
      </c>
      <c r="F47">
        <v>6.5</v>
      </c>
    </row>
    <row r="48" spans="1:6" x14ac:dyDescent="0.25">
      <c r="A48" s="4"/>
      <c r="D48" t="str">
        <f>IFERROR(VLOOKUP(B48,Projects!A:D,4,FALSE),"")</f>
        <v/>
      </c>
      <c r="E48" t="str">
        <f>IFERROR(VLOOKUP(B48,Projects!A:C,3,FALSE),"")</f>
        <v/>
      </c>
    </row>
  </sheetData>
  <dataValidations count="3">
    <dataValidation type="list" sqref="D49:D1048576" xr:uid="{00000000-0002-0000-0800-000000000000}">
      <formula1>"Planned,Firefighting,Sprint"</formula1>
    </dataValidation>
    <dataValidation type="list" sqref="D2:D48" xr:uid="{00000000-0002-0000-0800-000001000000}">
      <formula1>"Planned,Unplanned/Firefighting"</formula1>
    </dataValidation>
    <dataValidation type="list" allowBlank="1" sqref="D2:D1048576" xr:uid="{00000000-0002-0000-0800-000002000000}">
      <formula1>"Planned,Unplanned/Firefighting,Sprint"</formula1>
    </dataValidation>
  </dataValidation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5"/>
  <sheetViews>
    <sheetView workbookViewId="0">
      <pane ySplit="1" topLeftCell="A2" activePane="bottomLeft" state="frozen"/>
      <selection pane="bottomLeft" activeCell="G29" sqref="G29"/>
    </sheetView>
  </sheetViews>
  <sheetFormatPr defaultRowHeight="15" x14ac:dyDescent="0.25"/>
  <cols>
    <col min="1" max="3" width="14" customWidth="1"/>
  </cols>
  <sheetData>
    <row r="1" spans="1:3" x14ac:dyDescent="0.25">
      <c r="A1" s="3" t="s">
        <v>3</v>
      </c>
      <c r="B1" s="3" t="s">
        <v>93</v>
      </c>
      <c r="C1" s="3" t="s">
        <v>125</v>
      </c>
    </row>
    <row r="2" spans="1:3" x14ac:dyDescent="0.25">
      <c r="A2" s="4">
        <v>46023</v>
      </c>
      <c r="B2" t="s">
        <v>95</v>
      </c>
      <c r="C2">
        <v>1</v>
      </c>
    </row>
    <row r="3" spans="1:3" x14ac:dyDescent="0.25">
      <c r="A3" s="4">
        <v>46023</v>
      </c>
      <c r="B3" t="s">
        <v>96</v>
      </c>
      <c r="C3" s="11">
        <v>0</v>
      </c>
    </row>
    <row r="4" spans="1:3" x14ac:dyDescent="0.25">
      <c r="A4" s="4">
        <v>46023</v>
      </c>
      <c r="B4" t="s">
        <v>97</v>
      </c>
      <c r="C4">
        <v>26.25</v>
      </c>
    </row>
    <row r="5" spans="1:3" x14ac:dyDescent="0.25">
      <c r="A5" s="4">
        <v>46023</v>
      </c>
      <c r="B5" t="s">
        <v>98</v>
      </c>
      <c r="C5">
        <v>28.5</v>
      </c>
    </row>
    <row r="6" spans="1:3" x14ac:dyDescent="0.25">
      <c r="A6" s="4">
        <v>46023</v>
      </c>
      <c r="B6" t="s">
        <v>99</v>
      </c>
      <c r="C6">
        <v>70.25</v>
      </c>
    </row>
    <row r="7" spans="1:3" x14ac:dyDescent="0.25">
      <c r="A7" s="4">
        <v>46023</v>
      </c>
      <c r="B7" t="s">
        <v>100</v>
      </c>
      <c r="C7">
        <v>70</v>
      </c>
    </row>
    <row r="8" spans="1:3" x14ac:dyDescent="0.25">
      <c r="A8" s="4">
        <v>46023</v>
      </c>
      <c r="B8" t="s">
        <v>101</v>
      </c>
      <c r="C8">
        <v>0</v>
      </c>
    </row>
    <row r="9" spans="1:3" x14ac:dyDescent="0.25">
      <c r="A9" s="4">
        <v>46054</v>
      </c>
      <c r="B9" t="s">
        <v>95</v>
      </c>
      <c r="C9" s="11">
        <v>8</v>
      </c>
    </row>
    <row r="10" spans="1:3" x14ac:dyDescent="0.25">
      <c r="A10" s="4">
        <v>46054</v>
      </c>
      <c r="B10" t="s">
        <v>96</v>
      </c>
      <c r="C10" s="11">
        <v>0</v>
      </c>
    </row>
    <row r="11" spans="1:3" x14ac:dyDescent="0.25">
      <c r="A11" s="4">
        <v>46054</v>
      </c>
      <c r="B11" t="s">
        <v>97</v>
      </c>
      <c r="C11" s="11">
        <v>11.25</v>
      </c>
    </row>
    <row r="12" spans="1:3" x14ac:dyDescent="0.25">
      <c r="A12" s="4">
        <v>46054</v>
      </c>
      <c r="B12" t="s">
        <v>98</v>
      </c>
      <c r="C12" s="11">
        <v>6</v>
      </c>
    </row>
    <row r="13" spans="1:3" x14ac:dyDescent="0.25">
      <c r="A13" s="4">
        <v>46054</v>
      </c>
      <c r="B13" t="s">
        <v>99</v>
      </c>
      <c r="C13" s="11">
        <v>11</v>
      </c>
    </row>
    <row r="14" spans="1:3" x14ac:dyDescent="0.25">
      <c r="A14" s="4">
        <v>46054</v>
      </c>
      <c r="B14" t="s">
        <v>100</v>
      </c>
      <c r="C14" s="11">
        <v>16</v>
      </c>
    </row>
    <row r="15" spans="1:3" x14ac:dyDescent="0.25">
      <c r="A15" s="4">
        <v>46054</v>
      </c>
      <c r="B15" t="s">
        <v>101</v>
      </c>
      <c r="C15" s="11">
        <v>5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"/>
  <sheetViews>
    <sheetView workbookViewId="0">
      <selection activeCell="C2" sqref="C2"/>
    </sheetView>
  </sheetViews>
  <sheetFormatPr defaultRowHeight="15" x14ac:dyDescent="0.25"/>
  <cols>
    <col min="1" max="1" width="32" customWidth="1"/>
    <col min="2" max="2" width="22" customWidth="1"/>
  </cols>
  <sheetData>
    <row r="1" spans="1:2" x14ac:dyDescent="0.25">
      <c r="A1" s="3" t="s">
        <v>126</v>
      </c>
      <c r="B1" s="3" t="s">
        <v>127</v>
      </c>
    </row>
    <row r="2" spans="1:2" x14ac:dyDescent="0.25">
      <c r="A2" t="s">
        <v>128</v>
      </c>
      <c r="B2">
        <v>140</v>
      </c>
    </row>
    <row r="3" spans="1:2" x14ac:dyDescent="0.25">
      <c r="A3" t="s">
        <v>129</v>
      </c>
      <c r="B3" s="4">
        <v>46023</v>
      </c>
    </row>
    <row r="4" spans="1:2" x14ac:dyDescent="0.25">
      <c r="A4" t="s">
        <v>130</v>
      </c>
      <c r="B4" t="s">
        <v>44</v>
      </c>
    </row>
    <row r="5" spans="1:2" x14ac:dyDescent="0.25">
      <c r="A5" t="s">
        <v>131</v>
      </c>
      <c r="B5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03"/>
  <sheetViews>
    <sheetView workbookViewId="0">
      <selection activeCell="I22" sqref="I22"/>
    </sheetView>
  </sheetViews>
  <sheetFormatPr defaultRowHeight="15" x14ac:dyDescent="0.25"/>
  <cols>
    <col min="1" max="1" width="12" customWidth="1"/>
    <col min="2" max="3" width="18" customWidth="1"/>
    <col min="4" max="4" width="18" hidden="1" customWidth="1"/>
    <col min="5" max="9" width="18" customWidth="1"/>
    <col min="10" max="10" width="18" hidden="1" customWidth="1"/>
  </cols>
  <sheetData>
    <row r="1" spans="1:10" x14ac:dyDescent="0.25">
      <c r="A1" s="6" t="s">
        <v>132</v>
      </c>
    </row>
    <row r="3" spans="1:10" x14ac:dyDescent="0.25">
      <c r="A3" t="s">
        <v>129</v>
      </c>
      <c r="B3" s="4">
        <f>Params!B3</f>
        <v>46023</v>
      </c>
      <c r="D3" t="s">
        <v>130</v>
      </c>
      <c r="E3" t="str">
        <f>Params!B4</f>
        <v>R1518</v>
      </c>
    </row>
    <row r="6" spans="1:10" ht="30" customHeight="1" x14ac:dyDescent="0.25">
      <c r="A6" s="3" t="s">
        <v>5</v>
      </c>
      <c r="B6" s="3" t="s">
        <v>133</v>
      </c>
      <c r="C6" s="3" t="s">
        <v>134</v>
      </c>
      <c r="D6" s="3" t="s">
        <v>135</v>
      </c>
      <c r="E6" s="3" t="s">
        <v>136</v>
      </c>
      <c r="F6" s="3" t="s">
        <v>137</v>
      </c>
      <c r="G6" s="3" t="s">
        <v>138</v>
      </c>
      <c r="H6" s="3" t="s">
        <v>139</v>
      </c>
      <c r="I6" s="3" t="s">
        <v>140</v>
      </c>
      <c r="J6" s="3" t="s">
        <v>141</v>
      </c>
    </row>
    <row r="7" spans="1:10" x14ac:dyDescent="0.25">
      <c r="A7" t="s">
        <v>6</v>
      </c>
      <c r="B7">
        <f>SUMIFS(tblPlannedAlloc[PlannedHoursAllocated],tblPlannedAlloc[Month],$J7,tblPlannedAlloc[ProjectType],"NPD")</f>
        <v>650</v>
      </c>
      <c r="C7">
        <f>SUMIFS(tblPlannedAlloc[PlannedHoursAllocated],tblPlannedAlloc[Month],$J7,tblPlannedAlloc[ProjectType],"Sustaining")</f>
        <v>70</v>
      </c>
      <c r="D7">
        <f>SUMIFS(tblPlannedAlloc[PlannedHoursAllocated],tblPlannedAlloc[Month],$J7,tblPlannedAlloc[ProjectType],"Sprint")</f>
        <v>10</v>
      </c>
      <c r="E7">
        <f>SUMIFS(tblActualHours[ActualHours],tblActualHours[Month],$J7,tblActualHours[ProjectType],"NPD")</f>
        <v>670</v>
      </c>
      <c r="F7">
        <f>SUMIFS(tblActualHours[ActualHours],tblActualHours[Month],$J7,tblActualHours[ProjectType],"Sustaining")</f>
        <v>231.25</v>
      </c>
      <c r="G7">
        <f>SUMIFS(tblActualHours[ActualHours],tblActualHours[Month],$J7,tblActualHours[WorkClass],"Sprint")</f>
        <v>0</v>
      </c>
      <c r="H7">
        <f>SUMIFS(tblActualHours[ActualHours],tblActualHours[Month],$J7,tblActualHours[WorkClass],"Unplanned/Firefighting")</f>
        <v>101.5</v>
      </c>
      <c r="I7">
        <f>SUMIFS(tblLabTech[LabTechHours],tblLabTech[Month],$J7)</f>
        <v>196</v>
      </c>
      <c r="J7" s="4">
        <v>46023</v>
      </c>
    </row>
    <row r="8" spans="1:10" x14ac:dyDescent="0.25">
      <c r="A8" t="s">
        <v>7</v>
      </c>
      <c r="B8">
        <f>SUMIFS(tblPlannedAlloc[PlannedHoursAllocated],tblPlannedAlloc[Month],$J8,tblPlannedAlloc[ProjectType],"NPD")</f>
        <v>0</v>
      </c>
      <c r="C8">
        <f>SUMIFS(tblPlannedAlloc[PlannedHoursAllocated],tblPlannedAlloc[Month],$J8,tblPlannedAlloc[ProjectType],"Sustaining")</f>
        <v>0</v>
      </c>
      <c r="D8">
        <f>SUMIFS(tblPlannedAlloc[PlannedHoursAllocated],tblPlannedAlloc[Month],$J8,tblPlannedAlloc[ProjectType],"Sprint")</f>
        <v>0</v>
      </c>
      <c r="E8">
        <f>SUMIFS(tblActualHours[ActualHours],tblActualHours[Month],$J8,tblActualHours[ProjectType],"NPD")</f>
        <v>0</v>
      </c>
      <c r="F8">
        <f>SUMIFS(tblActualHours[ActualHours],tblActualHours[Month],$J8,tblActualHours[ProjectType],"Sustaining")</f>
        <v>0</v>
      </c>
      <c r="G8">
        <f>SUMIFS(tblActualHours[ActualHours],tblActualHours[Month],$J8,tblActualHours[WorkClass],"Sprint")</f>
        <v>0</v>
      </c>
      <c r="H8">
        <f>SUMIFS(tblActualHours[ActualHours],tblActualHours[Month],$J8,tblActualHours[WorkClass],"Unplanned/Firefighting")</f>
        <v>0</v>
      </c>
      <c r="I8">
        <f>SUMIFS(tblLabTech[LabTechHours],tblLabTech[Month],$J8)</f>
        <v>57.25</v>
      </c>
      <c r="J8" s="4">
        <v>46054</v>
      </c>
    </row>
    <row r="9" spans="1:10" x14ac:dyDescent="0.25">
      <c r="A9" t="s">
        <v>8</v>
      </c>
      <c r="B9">
        <f>SUMIFS(tblPlannedAlloc[PlannedHoursAllocated],tblPlannedAlloc[Month],$J9,tblPlannedAlloc[ProjectType],"NPD")</f>
        <v>0</v>
      </c>
      <c r="C9">
        <f>SUMIFS(tblPlannedAlloc[PlannedHoursAllocated],tblPlannedAlloc[Month],$J9,tblPlannedAlloc[ProjectType],"Sustaining")</f>
        <v>0</v>
      </c>
      <c r="D9">
        <f>SUMIFS(tblPlannedAlloc[PlannedHoursAllocated],tblPlannedAlloc[Month],$J9,tblPlannedAlloc[ProjectType],"Sprint")</f>
        <v>0</v>
      </c>
      <c r="E9">
        <f>SUMIFS(tblActualHours[ActualHours],tblActualHours[Month],$J9,tblActualHours[ProjectType],"NPD")</f>
        <v>0</v>
      </c>
      <c r="F9">
        <f>SUMIFS(tblActualHours[ActualHours],tblActualHours[Month],$J9,tblActualHours[ProjectType],"Sustaining")</f>
        <v>0</v>
      </c>
      <c r="G9">
        <f>SUMIFS(tblActualHours[ActualHours],tblActualHours[Month],$J9,tblActualHours[WorkClass],"Sprint")</f>
        <v>0</v>
      </c>
      <c r="H9">
        <f>SUMIFS(tblActualHours[ActualHours],tblActualHours[Month],$J9,tblActualHours[WorkClass],"Unplanned/Firefighting")</f>
        <v>0</v>
      </c>
      <c r="I9">
        <f>SUMIFS(tblLabTech[LabTechHours],tblLabTech[Month],$J9)</f>
        <v>0</v>
      </c>
      <c r="J9" s="4">
        <v>46082</v>
      </c>
    </row>
    <row r="10" spans="1:10" x14ac:dyDescent="0.25">
      <c r="A10" t="s">
        <v>9</v>
      </c>
      <c r="B10">
        <f>SUMIFS(tblPlannedAlloc[PlannedHoursAllocated],tblPlannedAlloc[Month],$J10,tblPlannedAlloc[ProjectType],"NPD")</f>
        <v>0</v>
      </c>
      <c r="C10">
        <f>SUMIFS(tblPlannedAlloc[PlannedHoursAllocated],tblPlannedAlloc[Month],$J10,tblPlannedAlloc[ProjectType],"Sustaining")</f>
        <v>0</v>
      </c>
      <c r="D10">
        <f>SUMIFS(tblPlannedAlloc[PlannedHoursAllocated],tblPlannedAlloc[Month],$J10,tblPlannedAlloc[ProjectType],"Sprint")</f>
        <v>0</v>
      </c>
      <c r="E10">
        <f>SUMIFS(tblActualHours[ActualHours],tblActualHours[Month],$J10,tblActualHours[ProjectType],"NPD")</f>
        <v>0</v>
      </c>
      <c r="F10">
        <f>SUMIFS(tblActualHours[ActualHours],tblActualHours[Month],$J10,tblActualHours[ProjectType],"Sustaining")</f>
        <v>0</v>
      </c>
      <c r="G10">
        <f>SUMIFS(tblActualHours[ActualHours],tblActualHours[Month],$J10,tblActualHours[WorkClass],"Sprint")</f>
        <v>0</v>
      </c>
      <c r="H10">
        <f>SUMIFS(tblActualHours[ActualHours],tblActualHours[Month],$J10,tblActualHours[WorkClass],"Unplanned/Firefighting")</f>
        <v>0</v>
      </c>
      <c r="I10">
        <f>SUMIFS(tblLabTech[LabTechHours],tblLabTech[Month],$J10)</f>
        <v>0</v>
      </c>
      <c r="J10" s="4">
        <v>46113</v>
      </c>
    </row>
    <row r="11" spans="1:10" x14ac:dyDescent="0.25">
      <c r="A11" t="s">
        <v>10</v>
      </c>
      <c r="B11">
        <f>SUMIFS(tblPlannedAlloc[PlannedHoursAllocated],tblPlannedAlloc[Month],$J11,tblPlannedAlloc[ProjectType],"NPD")</f>
        <v>0</v>
      </c>
      <c r="C11">
        <f>SUMIFS(tblPlannedAlloc[PlannedHoursAllocated],tblPlannedAlloc[Month],$J11,tblPlannedAlloc[ProjectType],"Sustaining")</f>
        <v>0</v>
      </c>
      <c r="D11">
        <f>SUMIFS(tblPlannedAlloc[PlannedHoursAllocated],tblPlannedAlloc[Month],$J11,tblPlannedAlloc[ProjectType],"Sprint")</f>
        <v>0</v>
      </c>
      <c r="E11">
        <f>SUMIFS(tblActualHours[ActualHours],tblActualHours[Month],$J11,tblActualHours[ProjectType],"NPD")</f>
        <v>0</v>
      </c>
      <c r="F11">
        <f>SUMIFS(tblActualHours[ActualHours],tblActualHours[Month],$J11,tblActualHours[ProjectType],"Sustaining")</f>
        <v>0</v>
      </c>
      <c r="G11">
        <f>SUMIFS(tblActualHours[ActualHours],tblActualHours[Month],$J11,tblActualHours[WorkClass],"Sprint")</f>
        <v>0</v>
      </c>
      <c r="H11">
        <f>SUMIFS(tblActualHours[ActualHours],tblActualHours[Month],$J11,tblActualHours[WorkClass],"Unplanned/Firefighting")</f>
        <v>0</v>
      </c>
      <c r="I11">
        <f>SUMIFS(tblLabTech[LabTechHours],tblLabTech[Month],$J11)</f>
        <v>0</v>
      </c>
      <c r="J11" s="4">
        <v>46143</v>
      </c>
    </row>
    <row r="12" spans="1:10" x14ac:dyDescent="0.25">
      <c r="A12" t="s">
        <v>11</v>
      </c>
      <c r="B12">
        <f>SUMIFS(tblPlannedAlloc[PlannedHoursAllocated],tblPlannedAlloc[Month],$J12,tblPlannedAlloc[ProjectType],"NPD")</f>
        <v>0</v>
      </c>
      <c r="C12">
        <f>SUMIFS(tblPlannedAlloc[PlannedHoursAllocated],tblPlannedAlloc[Month],$J12,tblPlannedAlloc[ProjectType],"Sustaining")</f>
        <v>0</v>
      </c>
      <c r="D12">
        <f>SUMIFS(tblPlannedAlloc[PlannedHoursAllocated],tblPlannedAlloc[Month],$J12,tblPlannedAlloc[ProjectType],"Sprint")</f>
        <v>0</v>
      </c>
      <c r="E12">
        <f>SUMIFS(tblActualHours[ActualHours],tblActualHours[Month],$J12,tblActualHours[ProjectType],"NPD")</f>
        <v>0</v>
      </c>
      <c r="F12">
        <f>SUMIFS(tblActualHours[ActualHours],tblActualHours[Month],$J12,tblActualHours[ProjectType],"Sustaining")</f>
        <v>0</v>
      </c>
      <c r="G12">
        <f>SUMIFS(tblActualHours[ActualHours],tblActualHours[Month],$J12,tblActualHours[WorkClass],"Sprint")</f>
        <v>0</v>
      </c>
      <c r="H12">
        <f>SUMIFS(tblActualHours[ActualHours],tblActualHours[Month],$J12,tblActualHours[WorkClass],"Unplanned/Firefighting")</f>
        <v>0</v>
      </c>
      <c r="I12">
        <f>SUMIFS(tblLabTech[LabTechHours],tblLabTech[Month],$J12)</f>
        <v>0</v>
      </c>
      <c r="J12" s="4">
        <v>46174</v>
      </c>
    </row>
    <row r="13" spans="1:10" x14ac:dyDescent="0.25">
      <c r="A13" t="s">
        <v>12</v>
      </c>
      <c r="B13">
        <f>SUMIFS(tblPlannedAlloc[PlannedHoursAllocated],tblPlannedAlloc[Month],$J13,tblPlannedAlloc[ProjectType],"NPD")</f>
        <v>0</v>
      </c>
      <c r="C13">
        <f>SUMIFS(tblPlannedAlloc[PlannedHoursAllocated],tblPlannedAlloc[Month],$J13,tblPlannedAlloc[ProjectType],"Sustaining")</f>
        <v>0</v>
      </c>
      <c r="D13">
        <f>SUMIFS(tblPlannedAlloc[PlannedHoursAllocated],tblPlannedAlloc[Month],$J13,tblPlannedAlloc[ProjectType],"Sprint")</f>
        <v>0</v>
      </c>
      <c r="E13">
        <f>SUMIFS(tblActualHours[ActualHours],tblActualHours[Month],$J13,tblActualHours[ProjectType],"NPD")</f>
        <v>0</v>
      </c>
      <c r="F13">
        <f>SUMIFS(tblActualHours[ActualHours],tblActualHours[Month],$J13,tblActualHours[ProjectType],"Sustaining")</f>
        <v>0</v>
      </c>
      <c r="G13">
        <f>SUMIFS(tblActualHours[ActualHours],tblActualHours[Month],$J13,tblActualHours[WorkClass],"Sprint")</f>
        <v>0</v>
      </c>
      <c r="H13">
        <f>SUMIFS(tblActualHours[ActualHours],tblActualHours[Month],$J13,tblActualHours[WorkClass],"Unplanned/Firefighting")</f>
        <v>0</v>
      </c>
      <c r="I13">
        <f>SUMIFS(tblLabTech[LabTechHours],tblLabTech[Month],$J13)</f>
        <v>0</v>
      </c>
      <c r="J13" s="4">
        <v>46204</v>
      </c>
    </row>
    <row r="14" spans="1:10" x14ac:dyDescent="0.25">
      <c r="A14" t="s">
        <v>13</v>
      </c>
      <c r="B14">
        <f>SUMIFS(tblPlannedAlloc[PlannedHoursAllocated],tblPlannedAlloc[Month],$J14,tblPlannedAlloc[ProjectType],"NPD")</f>
        <v>0</v>
      </c>
      <c r="C14">
        <f>SUMIFS(tblPlannedAlloc[PlannedHoursAllocated],tblPlannedAlloc[Month],$J14,tblPlannedAlloc[ProjectType],"Sustaining")</f>
        <v>0</v>
      </c>
      <c r="D14">
        <f>SUMIFS(tblPlannedAlloc[PlannedHoursAllocated],tblPlannedAlloc[Month],$J14,tblPlannedAlloc[ProjectType],"Sprint")</f>
        <v>0</v>
      </c>
      <c r="E14">
        <f>SUMIFS(tblActualHours[ActualHours],tblActualHours[Month],$J14,tblActualHours[ProjectType],"NPD")</f>
        <v>0</v>
      </c>
      <c r="F14">
        <f>SUMIFS(tblActualHours[ActualHours],tblActualHours[Month],$J14,tblActualHours[ProjectType],"Sustaining")</f>
        <v>0</v>
      </c>
      <c r="G14">
        <f>SUMIFS(tblActualHours[ActualHours],tblActualHours[Month],$J14,tblActualHours[WorkClass],"Sprint")</f>
        <v>0</v>
      </c>
      <c r="H14">
        <f>SUMIFS(tblActualHours[ActualHours],tblActualHours[Month],$J14,tblActualHours[WorkClass],"Unplanned/Firefighting")</f>
        <v>0</v>
      </c>
      <c r="I14">
        <f>SUMIFS(tblLabTech[LabTechHours],tblLabTech[Month],$J14)</f>
        <v>0</v>
      </c>
      <c r="J14" s="4">
        <v>46235</v>
      </c>
    </row>
    <row r="15" spans="1:10" x14ac:dyDescent="0.25">
      <c r="A15" t="s">
        <v>14</v>
      </c>
      <c r="B15">
        <f>SUMIFS(tblPlannedAlloc[PlannedHoursAllocated],tblPlannedAlloc[Month],$J15,tblPlannedAlloc[ProjectType],"NPD")</f>
        <v>0</v>
      </c>
      <c r="C15">
        <f>SUMIFS(tblPlannedAlloc[PlannedHoursAllocated],tblPlannedAlloc[Month],$J15,tblPlannedAlloc[ProjectType],"Sustaining")</f>
        <v>0</v>
      </c>
      <c r="D15">
        <f>SUMIFS(tblPlannedAlloc[PlannedHoursAllocated],tblPlannedAlloc[Month],$J15,tblPlannedAlloc[ProjectType],"Sprint")</f>
        <v>0</v>
      </c>
      <c r="E15">
        <f>SUMIFS(tblActualHours[ActualHours],tblActualHours[Month],$J15,tblActualHours[ProjectType],"NPD")</f>
        <v>0</v>
      </c>
      <c r="F15">
        <f>SUMIFS(tblActualHours[ActualHours],tblActualHours[Month],$J15,tblActualHours[ProjectType],"Sustaining")</f>
        <v>0</v>
      </c>
      <c r="G15">
        <f>SUMIFS(tblActualHours[ActualHours],tblActualHours[Month],$J15,tblActualHours[WorkClass],"Sprint")</f>
        <v>0</v>
      </c>
      <c r="H15">
        <f>SUMIFS(tblActualHours[ActualHours],tblActualHours[Month],$J15,tblActualHours[WorkClass],"Unplanned/Firefighting")</f>
        <v>0</v>
      </c>
      <c r="I15">
        <f>SUMIFS(tblLabTech[LabTechHours],tblLabTech[Month],$J15)</f>
        <v>0</v>
      </c>
      <c r="J15" s="4">
        <v>46266</v>
      </c>
    </row>
    <row r="16" spans="1:10" x14ac:dyDescent="0.25">
      <c r="A16" t="s">
        <v>15</v>
      </c>
      <c r="B16">
        <f>SUMIFS(tblPlannedAlloc[PlannedHoursAllocated],tblPlannedAlloc[Month],$J16,tblPlannedAlloc[ProjectType],"NPD")</f>
        <v>0</v>
      </c>
      <c r="C16">
        <f>SUMIFS(tblPlannedAlloc[PlannedHoursAllocated],tblPlannedAlloc[Month],$J16,tblPlannedAlloc[ProjectType],"Sustaining")</f>
        <v>0</v>
      </c>
      <c r="D16">
        <f>SUMIFS(tblPlannedAlloc[PlannedHoursAllocated],tblPlannedAlloc[Month],$J16,tblPlannedAlloc[ProjectType],"Sprint")</f>
        <v>0</v>
      </c>
      <c r="E16">
        <f>SUMIFS(tblActualHours[ActualHours],tblActualHours[Month],$J16,tblActualHours[ProjectType],"NPD")</f>
        <v>0</v>
      </c>
      <c r="F16">
        <f>SUMIFS(tblActualHours[ActualHours],tblActualHours[Month],$J16,tblActualHours[ProjectType],"Sustaining")</f>
        <v>0</v>
      </c>
      <c r="G16">
        <f>SUMIFS(tblActualHours[ActualHours],tblActualHours[Month],$J16,tblActualHours[WorkClass],"Sprint")</f>
        <v>0</v>
      </c>
      <c r="H16">
        <f>SUMIFS(tblActualHours[ActualHours],tblActualHours[Month],$J16,tblActualHours[WorkClass],"Unplanned/Firefighting")</f>
        <v>0</v>
      </c>
      <c r="I16">
        <f>SUMIFS(tblLabTech[LabTechHours],tblLabTech[Month],$J16)</f>
        <v>0</v>
      </c>
      <c r="J16" s="4">
        <v>46296</v>
      </c>
    </row>
    <row r="17" spans="1:10" x14ac:dyDescent="0.25">
      <c r="A17" t="s">
        <v>16</v>
      </c>
      <c r="B17">
        <f>SUMIFS(tblPlannedAlloc[PlannedHoursAllocated],tblPlannedAlloc[Month],$J17,tblPlannedAlloc[ProjectType],"NPD")</f>
        <v>0</v>
      </c>
      <c r="C17">
        <f>SUMIFS(tblPlannedAlloc[PlannedHoursAllocated],tblPlannedAlloc[Month],$J17,tblPlannedAlloc[ProjectType],"Sustaining")</f>
        <v>0</v>
      </c>
      <c r="D17">
        <f>SUMIFS(tblPlannedAlloc[PlannedHoursAllocated],tblPlannedAlloc[Month],$J17,tblPlannedAlloc[ProjectType],"Sprint")</f>
        <v>0</v>
      </c>
      <c r="E17">
        <f>SUMIFS(tblActualHours[ActualHours],tblActualHours[Month],$J17,tblActualHours[ProjectType],"NPD")</f>
        <v>0</v>
      </c>
      <c r="F17">
        <f>SUMIFS(tblActualHours[ActualHours],tblActualHours[Month],$J17,tblActualHours[ProjectType],"Sustaining")</f>
        <v>0</v>
      </c>
      <c r="G17">
        <f>SUMIFS(tblActualHours[ActualHours],tblActualHours[Month],$J17,tblActualHours[WorkClass],"Sprint")</f>
        <v>0</v>
      </c>
      <c r="H17">
        <f>SUMIFS(tblActualHours[ActualHours],tblActualHours[Month],$J17,tblActualHours[WorkClass],"Unplanned/Firefighting")</f>
        <v>0</v>
      </c>
      <c r="I17">
        <f>SUMIFS(tblLabTech[LabTechHours],tblLabTech[Month],$J17)</f>
        <v>0</v>
      </c>
      <c r="J17" s="4">
        <v>46327</v>
      </c>
    </row>
    <row r="18" spans="1:10" x14ac:dyDescent="0.25">
      <c r="A18" t="s">
        <v>17</v>
      </c>
      <c r="B18">
        <f>SUMIFS(tblPlannedAlloc[PlannedHoursAllocated],tblPlannedAlloc[Month],$J18,tblPlannedAlloc[ProjectType],"NPD")</f>
        <v>0</v>
      </c>
      <c r="C18">
        <f>SUMIFS(tblPlannedAlloc[PlannedHoursAllocated],tblPlannedAlloc[Month],$J18,tblPlannedAlloc[ProjectType],"Sustaining")</f>
        <v>0</v>
      </c>
      <c r="D18">
        <f>SUMIFS(tblPlannedAlloc[PlannedHoursAllocated],tblPlannedAlloc[Month],$J18,tblPlannedAlloc[ProjectType],"Sprint")</f>
        <v>0</v>
      </c>
      <c r="E18">
        <f>SUMIFS(tblActualHours[ActualHours],tblActualHours[Month],$J18,tblActualHours[ProjectType],"NPD")</f>
        <v>0</v>
      </c>
      <c r="F18">
        <f>SUMIFS(tblActualHours[ActualHours],tblActualHours[Month],$J18,tblActualHours[ProjectType],"Sustaining")</f>
        <v>0</v>
      </c>
      <c r="G18">
        <f>SUMIFS(tblActualHours[ActualHours],tblActualHours[Month],$J18,tblActualHours[WorkClass],"Sprint")</f>
        <v>0</v>
      </c>
      <c r="H18">
        <f>SUMIFS(tblActualHours[ActualHours],tblActualHours[Month],$J18,tblActualHours[WorkClass],"Unplanned/Firefighting")</f>
        <v>0</v>
      </c>
      <c r="I18">
        <f>SUMIFS(tblLabTech[LabTechHours],tblLabTech[Month],$J18)</f>
        <v>0</v>
      </c>
      <c r="J18" s="4">
        <v>46357</v>
      </c>
    </row>
    <row r="22" spans="1:10" ht="30" customHeight="1" x14ac:dyDescent="0.25">
      <c r="A22" s="3" t="s">
        <v>5</v>
      </c>
      <c r="B22" s="3" t="s">
        <v>142</v>
      </c>
      <c r="C22" s="3" t="s">
        <v>143</v>
      </c>
      <c r="D22" s="3" t="s">
        <v>141</v>
      </c>
    </row>
    <row r="23" spans="1:10" x14ac:dyDescent="0.25">
      <c r="A23" t="s">
        <v>6</v>
      </c>
      <c r="B23">
        <f>SUMIFS(tblPlannedAlloc[PlannedHoursAllocated],tblPlannedAlloc[Month],$D23,tblPlannedAlloc[ProjectID],$E$3)</f>
        <v>60</v>
      </c>
      <c r="C23">
        <f>SUMIFS(tblActualHours[ActualHours],tblActualHours[Month],$D23,tblActualHours[ProjectID],$E$3)</f>
        <v>42.75</v>
      </c>
      <c r="D23" s="4">
        <v>46023</v>
      </c>
    </row>
    <row r="24" spans="1:10" x14ac:dyDescent="0.25">
      <c r="A24" t="s">
        <v>7</v>
      </c>
      <c r="B24">
        <f>SUMIFS(tblPlannedAlloc[PlannedHoursAllocated],tblPlannedAlloc[Month],$D24,tblPlannedAlloc[ProjectID],$E$3)</f>
        <v>0</v>
      </c>
      <c r="C24">
        <f>SUMIFS(tblActualHours[ActualHours],tblActualHours[Month],$D24,tblActualHours[ProjectID],$E$3)</f>
        <v>0</v>
      </c>
      <c r="D24" s="4">
        <v>46054</v>
      </c>
    </row>
    <row r="25" spans="1:10" x14ac:dyDescent="0.25">
      <c r="A25" t="s">
        <v>8</v>
      </c>
      <c r="B25">
        <f>SUMIFS(tblPlannedAlloc[PlannedHoursAllocated],tblPlannedAlloc[Month],$D25,tblPlannedAlloc[ProjectID],$E$3)</f>
        <v>0</v>
      </c>
      <c r="C25">
        <f>SUMIFS(tblActualHours[ActualHours],tblActualHours[Month],$D25,tblActualHours[ProjectID],$E$3)</f>
        <v>0</v>
      </c>
      <c r="D25" s="4">
        <v>46082</v>
      </c>
    </row>
    <row r="26" spans="1:10" x14ac:dyDescent="0.25">
      <c r="A26" t="s">
        <v>9</v>
      </c>
      <c r="B26">
        <f>SUMIFS(tblPlannedAlloc[PlannedHoursAllocated],tblPlannedAlloc[Month],$D26,tblPlannedAlloc[ProjectID],$E$3)</f>
        <v>0</v>
      </c>
      <c r="C26">
        <f>SUMIFS(tblActualHours[ActualHours],tblActualHours[Month],$D26,tblActualHours[ProjectID],$E$3)</f>
        <v>0</v>
      </c>
      <c r="D26" s="4">
        <v>46113</v>
      </c>
    </row>
    <row r="27" spans="1:10" x14ac:dyDescent="0.25">
      <c r="A27" t="s">
        <v>10</v>
      </c>
      <c r="B27">
        <f>SUMIFS(tblPlannedAlloc[PlannedHoursAllocated],tblPlannedAlloc[Month],$D27,tblPlannedAlloc[ProjectID],$E$3)</f>
        <v>0</v>
      </c>
      <c r="C27">
        <f>SUMIFS(tblActualHours[ActualHours],tblActualHours[Month],$D27,tblActualHours[ProjectID],$E$3)</f>
        <v>0</v>
      </c>
      <c r="D27" s="4">
        <v>46143</v>
      </c>
    </row>
    <row r="28" spans="1:10" x14ac:dyDescent="0.25">
      <c r="A28" t="s">
        <v>11</v>
      </c>
      <c r="B28">
        <f>SUMIFS(tblPlannedAlloc[PlannedHoursAllocated],tblPlannedAlloc[Month],$D28,tblPlannedAlloc[ProjectID],$E$3)</f>
        <v>0</v>
      </c>
      <c r="C28">
        <f>SUMIFS(tblActualHours[ActualHours],tblActualHours[Month],$D28,tblActualHours[ProjectID],$E$3)</f>
        <v>0</v>
      </c>
      <c r="D28" s="4">
        <v>46174</v>
      </c>
    </row>
    <row r="29" spans="1:10" x14ac:dyDescent="0.25">
      <c r="A29" t="s">
        <v>12</v>
      </c>
      <c r="B29">
        <f>SUMIFS(tblPlannedAlloc[PlannedHoursAllocated],tblPlannedAlloc[Month],$D29,tblPlannedAlloc[ProjectID],$E$3)</f>
        <v>0</v>
      </c>
      <c r="C29">
        <f>SUMIFS(tblActualHours[ActualHours],tblActualHours[Month],$D29,tblActualHours[ProjectID],$E$3)</f>
        <v>0</v>
      </c>
      <c r="D29" s="4">
        <v>46204</v>
      </c>
    </row>
    <row r="30" spans="1:10" x14ac:dyDescent="0.25">
      <c r="A30" t="s">
        <v>13</v>
      </c>
      <c r="B30">
        <f>SUMIFS(tblPlannedAlloc[PlannedHoursAllocated],tblPlannedAlloc[Month],$D30,tblPlannedAlloc[ProjectID],$E$3)</f>
        <v>0</v>
      </c>
      <c r="C30">
        <f>SUMIFS(tblActualHours[ActualHours],tblActualHours[Month],$D30,tblActualHours[ProjectID],$E$3)</f>
        <v>0</v>
      </c>
      <c r="D30" s="4">
        <v>46235</v>
      </c>
    </row>
    <row r="31" spans="1:10" x14ac:dyDescent="0.25">
      <c r="A31" t="s">
        <v>14</v>
      </c>
      <c r="B31">
        <f>SUMIFS(tblPlannedAlloc[PlannedHoursAllocated],tblPlannedAlloc[Month],$D31,tblPlannedAlloc[ProjectID],$E$3)</f>
        <v>0</v>
      </c>
      <c r="C31">
        <f>SUMIFS(tblActualHours[ActualHours],tblActualHours[Month],$D31,tblActualHours[ProjectID],$E$3)</f>
        <v>0</v>
      </c>
      <c r="D31" s="4">
        <v>46266</v>
      </c>
    </row>
    <row r="32" spans="1:10" x14ac:dyDescent="0.25">
      <c r="A32" t="s">
        <v>15</v>
      </c>
      <c r="B32">
        <f>SUMIFS(tblPlannedAlloc[PlannedHoursAllocated],tblPlannedAlloc[Month],$D32,tblPlannedAlloc[ProjectID],$E$3)</f>
        <v>0</v>
      </c>
      <c r="C32">
        <f>SUMIFS(tblActualHours[ActualHours],tblActualHours[Month],$D32,tblActualHours[ProjectID],$E$3)</f>
        <v>0</v>
      </c>
      <c r="D32" s="4">
        <v>46296</v>
      </c>
    </row>
    <row r="33" spans="1:4" x14ac:dyDescent="0.25">
      <c r="A33" t="s">
        <v>16</v>
      </c>
      <c r="B33">
        <f>SUMIFS(tblPlannedAlloc[PlannedHoursAllocated],tblPlannedAlloc[Month],$D33,tblPlannedAlloc[ProjectID],$E$3)</f>
        <v>0</v>
      </c>
      <c r="C33">
        <f>SUMIFS(tblActualHours[ActualHours],tblActualHours[Month],$D33,tblActualHours[ProjectID],$E$3)</f>
        <v>0</v>
      </c>
      <c r="D33" s="4">
        <v>46327</v>
      </c>
    </row>
    <row r="34" spans="1:4" x14ac:dyDescent="0.25">
      <c r="A34" t="s">
        <v>17</v>
      </c>
      <c r="B34">
        <f>SUMIFS(tblPlannedAlloc[PlannedHoursAllocated],tblPlannedAlloc[Month],$D34,tblPlannedAlloc[ProjectID],$E$3)</f>
        <v>0</v>
      </c>
      <c r="C34">
        <f>SUMIFS(tblActualHours[ActualHours],tblActualHours[Month],$D34,tblActualHours[ProjectID],$E$3)</f>
        <v>0</v>
      </c>
      <c r="D34" s="4">
        <v>46357</v>
      </c>
    </row>
    <row r="38" spans="1:4" ht="30" customHeight="1" x14ac:dyDescent="0.25">
      <c r="A38" s="3" t="s">
        <v>144</v>
      </c>
      <c r="B38" s="3" t="s">
        <v>145</v>
      </c>
      <c r="C38" s="3" t="s">
        <v>146</v>
      </c>
    </row>
    <row r="39" spans="1:4" x14ac:dyDescent="0.25">
      <c r="A39">
        <v>1</v>
      </c>
      <c r="B39">
        <v>1</v>
      </c>
      <c r="C39">
        <f>SUMIFS(tblPlannedAlloc[PlannedHoursAllocated],tblPlannedAlloc[Month],$B$3,tblPlannedAlloc[ProjectID],"R1337.1",tblPlannedAlloc[Engineer],"Mike")</f>
        <v>0</v>
      </c>
    </row>
    <row r="40" spans="1:4" x14ac:dyDescent="0.25">
      <c r="A40">
        <v>1</v>
      </c>
      <c r="B40">
        <v>2</v>
      </c>
      <c r="C40">
        <f>SUMIFS(tblPlannedAlloc[PlannedHoursAllocated],tblPlannedAlloc[Month],$B$3,tblPlannedAlloc[ProjectID],"R1337.1",tblPlannedAlloc[Engineer],"Karl")</f>
        <v>0</v>
      </c>
    </row>
    <row r="41" spans="1:4" x14ac:dyDescent="0.25">
      <c r="A41">
        <v>1</v>
      </c>
      <c r="B41">
        <v>3</v>
      </c>
      <c r="C41">
        <f>SUMIFS(tblPlannedAlloc[PlannedHoursAllocated],tblPlannedAlloc[Month],$B$3,tblPlannedAlloc[ProjectID],"R1337.1",tblPlannedAlloc[Engineer],"Brian")</f>
        <v>0</v>
      </c>
    </row>
    <row r="42" spans="1:4" x14ac:dyDescent="0.25">
      <c r="A42">
        <v>1</v>
      </c>
      <c r="B42">
        <v>4</v>
      </c>
      <c r="C42">
        <f>SUMIFS(tblPlannedAlloc[PlannedHoursAllocated],tblPlannedAlloc[Month],$B$3,tblPlannedAlloc[ProjectID],"R1337.1",tblPlannedAlloc[Engineer],"Hannah")</f>
        <v>0</v>
      </c>
    </row>
    <row r="43" spans="1:4" x14ac:dyDescent="0.25">
      <c r="A43">
        <v>1</v>
      </c>
      <c r="B43">
        <v>5</v>
      </c>
      <c r="C43">
        <f>SUMIFS(tblPlannedAlloc[PlannedHoursAllocated],tblPlannedAlloc[Month],$B$3,tblPlannedAlloc[ProjectID],"R1337.1",tblPlannedAlloc[Engineer],"Marcelo")</f>
        <v>10</v>
      </c>
    </row>
    <row r="44" spans="1:4" x14ac:dyDescent="0.25">
      <c r="A44">
        <v>1</v>
      </c>
      <c r="B44">
        <v>6</v>
      </c>
      <c r="C44">
        <f>SUMIFS(tblPlannedAlloc[PlannedHoursAllocated],tblPlannedAlloc[Month],$B$3,tblPlannedAlloc[ProjectID],"R1337.1",tblPlannedAlloc[Engineer],"Justin")</f>
        <v>0</v>
      </c>
    </row>
    <row r="45" spans="1:4" x14ac:dyDescent="0.25">
      <c r="A45">
        <v>1</v>
      </c>
      <c r="B45">
        <v>7</v>
      </c>
      <c r="C45">
        <f>SUMIFS(tblPlannedAlloc[PlannedHoursAllocated],tblPlannedAlloc[Month],$B$3,tblPlannedAlloc[ProjectID],"R1337.1",tblPlannedAlloc[Engineer],"Aaron")</f>
        <v>0</v>
      </c>
    </row>
    <row r="46" spans="1:4" x14ac:dyDescent="0.25">
      <c r="A46">
        <v>2</v>
      </c>
      <c r="B46">
        <v>1</v>
      </c>
      <c r="C46">
        <f>SUMIFS(tblPlannedAlloc[PlannedHoursAllocated],tblPlannedAlloc[Month],$B$3,tblPlannedAlloc[ProjectID],"R1337.3",tblPlannedAlloc[Engineer],"Mike")</f>
        <v>0</v>
      </c>
    </row>
    <row r="47" spans="1:4" x14ac:dyDescent="0.25">
      <c r="A47">
        <v>2</v>
      </c>
      <c r="B47">
        <v>2</v>
      </c>
      <c r="C47">
        <f>SUMIFS(tblPlannedAlloc[PlannedHoursAllocated],tblPlannedAlloc[Month],$B$3,tblPlannedAlloc[ProjectID],"R1337.3",tblPlannedAlloc[Engineer],"Karl")</f>
        <v>0</v>
      </c>
    </row>
    <row r="48" spans="1:4" x14ac:dyDescent="0.25">
      <c r="A48">
        <v>2</v>
      </c>
      <c r="B48">
        <v>3</v>
      </c>
      <c r="C48">
        <f>SUMIFS(tblPlannedAlloc[PlannedHoursAllocated],tblPlannedAlloc[Month],$B$3,tblPlannedAlloc[ProjectID],"R1337.3",tblPlannedAlloc[Engineer],"Brian")</f>
        <v>0</v>
      </c>
    </row>
    <row r="49" spans="1:3" x14ac:dyDescent="0.25">
      <c r="A49">
        <v>2</v>
      </c>
      <c r="B49">
        <v>4</v>
      </c>
      <c r="C49">
        <f>SUMIFS(tblPlannedAlloc[PlannedHoursAllocated],tblPlannedAlloc[Month],$B$3,tblPlannedAlloc[ProjectID],"R1337.3",tblPlannedAlloc[Engineer],"Hannah")</f>
        <v>0</v>
      </c>
    </row>
    <row r="50" spans="1:3" x14ac:dyDescent="0.25">
      <c r="A50">
        <v>2</v>
      </c>
      <c r="B50">
        <v>5</v>
      </c>
      <c r="C50">
        <f>SUMIFS(tblPlannedAlloc[PlannedHoursAllocated],tblPlannedAlloc[Month],$B$3,tblPlannedAlloc[ProjectID],"R1337.3",tblPlannedAlloc[Engineer],"Marcelo")</f>
        <v>10</v>
      </c>
    </row>
    <row r="51" spans="1:3" x14ac:dyDescent="0.25">
      <c r="A51">
        <v>2</v>
      </c>
      <c r="B51">
        <v>6</v>
      </c>
      <c r="C51">
        <f>SUMIFS(tblPlannedAlloc[PlannedHoursAllocated],tblPlannedAlloc[Month],$B$3,tblPlannedAlloc[ProjectID],"R1337.3",tblPlannedAlloc[Engineer],"Justin")</f>
        <v>0</v>
      </c>
    </row>
    <row r="52" spans="1:3" x14ac:dyDescent="0.25">
      <c r="A52">
        <v>2</v>
      </c>
      <c r="B52">
        <v>7</v>
      </c>
      <c r="C52">
        <f>SUMIFS(tblPlannedAlloc[PlannedHoursAllocated],tblPlannedAlloc[Month],$B$3,tblPlannedAlloc[ProjectID],"R1337.3",tblPlannedAlloc[Engineer],"Aaron")</f>
        <v>0</v>
      </c>
    </row>
    <row r="53" spans="1:3" x14ac:dyDescent="0.25">
      <c r="A53">
        <v>3</v>
      </c>
      <c r="B53">
        <v>1</v>
      </c>
      <c r="C53">
        <f>SUMIFS(tblPlannedAlloc[PlannedHoursAllocated],tblPlannedAlloc[Month],$B$3,tblPlannedAlloc[ProjectID],"R1337.2",tblPlannedAlloc[Engineer],"Mike")</f>
        <v>0</v>
      </c>
    </row>
    <row r="54" spans="1:3" x14ac:dyDescent="0.25">
      <c r="A54">
        <v>3</v>
      </c>
      <c r="B54">
        <v>2</v>
      </c>
      <c r="C54">
        <f>SUMIFS(tblPlannedAlloc[PlannedHoursAllocated],tblPlannedAlloc[Month],$B$3,tblPlannedAlloc[ProjectID],"R1337.2",tblPlannedAlloc[Engineer],"Karl")</f>
        <v>0</v>
      </c>
    </row>
    <row r="55" spans="1:3" x14ac:dyDescent="0.25">
      <c r="A55">
        <v>3</v>
      </c>
      <c r="B55">
        <v>3</v>
      </c>
      <c r="C55">
        <f>SUMIFS(tblPlannedAlloc[PlannedHoursAllocated],tblPlannedAlloc[Month],$B$3,tblPlannedAlloc[ProjectID],"R1337.2",tblPlannedAlloc[Engineer],"Brian")</f>
        <v>0</v>
      </c>
    </row>
    <row r="56" spans="1:3" x14ac:dyDescent="0.25">
      <c r="A56">
        <v>3</v>
      </c>
      <c r="B56">
        <v>4</v>
      </c>
      <c r="C56">
        <f>SUMIFS(tblPlannedAlloc[PlannedHoursAllocated],tblPlannedAlloc[Month],$B$3,tblPlannedAlloc[ProjectID],"R1337.2",tblPlannedAlloc[Engineer],"Hannah")</f>
        <v>0</v>
      </c>
    </row>
    <row r="57" spans="1:3" x14ac:dyDescent="0.25">
      <c r="A57">
        <v>3</v>
      </c>
      <c r="B57">
        <v>5</v>
      </c>
      <c r="C57">
        <f>SUMIFS(tblPlannedAlloc[PlannedHoursAllocated],tblPlannedAlloc[Month],$B$3,tblPlannedAlloc[ProjectID],"R1337.2",tblPlannedAlloc[Engineer],"Marcelo")</f>
        <v>10</v>
      </c>
    </row>
    <row r="58" spans="1:3" x14ac:dyDescent="0.25">
      <c r="A58">
        <v>3</v>
      </c>
      <c r="B58">
        <v>6</v>
      </c>
      <c r="C58">
        <f>SUMIFS(tblPlannedAlloc[PlannedHoursAllocated],tblPlannedAlloc[Month],$B$3,tblPlannedAlloc[ProjectID],"R1337.2",tblPlannedAlloc[Engineer],"Justin")</f>
        <v>0</v>
      </c>
    </row>
    <row r="59" spans="1:3" x14ac:dyDescent="0.25">
      <c r="A59">
        <v>3</v>
      </c>
      <c r="B59">
        <v>7</v>
      </c>
      <c r="C59">
        <f>SUMIFS(tblPlannedAlloc[PlannedHoursAllocated],tblPlannedAlloc[Month],$B$3,tblPlannedAlloc[ProjectID],"R1337.2",tblPlannedAlloc[Engineer],"Aaron")</f>
        <v>0</v>
      </c>
    </row>
    <row r="60" spans="1:3" x14ac:dyDescent="0.25">
      <c r="A60">
        <v>4</v>
      </c>
      <c r="B60">
        <v>1</v>
      </c>
      <c r="C60">
        <f>SUMIFS(tblPlannedAlloc[PlannedHoursAllocated],tblPlannedAlloc[Month],$B$3,tblPlannedAlloc[ProjectID],"R1430.1A",tblPlannedAlloc[Engineer],"Mike")</f>
        <v>120</v>
      </c>
    </row>
    <row r="61" spans="1:3" x14ac:dyDescent="0.25">
      <c r="A61">
        <v>4</v>
      </c>
      <c r="B61">
        <v>2</v>
      </c>
      <c r="C61">
        <f>SUMIFS(tblPlannedAlloc[PlannedHoursAllocated],tblPlannedAlloc[Month],$B$3,tblPlannedAlloc[ProjectID],"R1430.1A",tblPlannedAlloc[Engineer],"Karl")</f>
        <v>0</v>
      </c>
    </row>
    <row r="62" spans="1:3" x14ac:dyDescent="0.25">
      <c r="A62">
        <v>4</v>
      </c>
      <c r="B62">
        <v>3</v>
      </c>
      <c r="C62">
        <f>SUMIFS(tblPlannedAlloc[PlannedHoursAllocated],tblPlannedAlloc[Month],$B$3,tblPlannedAlloc[ProjectID],"R1430.1A",tblPlannedAlloc[Engineer],"Brian")</f>
        <v>0</v>
      </c>
    </row>
    <row r="63" spans="1:3" x14ac:dyDescent="0.25">
      <c r="A63">
        <v>4</v>
      </c>
      <c r="B63">
        <v>4</v>
      </c>
      <c r="C63">
        <f>SUMIFS(tblPlannedAlloc[PlannedHoursAllocated],tblPlannedAlloc[Month],$B$3,tblPlannedAlloc[ProjectID],"R1430.1A",tblPlannedAlloc[Engineer],"Hannah")</f>
        <v>0</v>
      </c>
    </row>
    <row r="64" spans="1:3" x14ac:dyDescent="0.25">
      <c r="A64">
        <v>4</v>
      </c>
      <c r="B64">
        <v>5</v>
      </c>
      <c r="C64">
        <f>SUMIFS(tblPlannedAlloc[PlannedHoursAllocated],tblPlannedAlloc[Month],$B$3,tblPlannedAlloc[ProjectID],"R1430.1A",tblPlannedAlloc[Engineer],"Marcelo")</f>
        <v>0</v>
      </c>
    </row>
    <row r="65" spans="1:3" x14ac:dyDescent="0.25">
      <c r="A65">
        <v>4</v>
      </c>
      <c r="B65">
        <v>6</v>
      </c>
      <c r="C65">
        <f>SUMIFS(tblPlannedAlloc[PlannedHoursAllocated],tblPlannedAlloc[Month],$B$3,tblPlannedAlloc[ProjectID],"R1430.1A",tblPlannedAlloc[Engineer],"Justin")</f>
        <v>0</v>
      </c>
    </row>
    <row r="66" spans="1:3" x14ac:dyDescent="0.25">
      <c r="A66">
        <v>4</v>
      </c>
      <c r="B66">
        <v>7</v>
      </c>
      <c r="C66">
        <f>SUMIFS(tblPlannedAlloc[PlannedHoursAllocated],tblPlannedAlloc[Month],$B$3,tblPlannedAlloc[ProjectID],"R1430.1A",tblPlannedAlloc[Engineer],"Aaron")</f>
        <v>0</v>
      </c>
    </row>
    <row r="67" spans="1:3" x14ac:dyDescent="0.25">
      <c r="A67">
        <v>5</v>
      </c>
      <c r="B67">
        <v>1</v>
      </c>
      <c r="C67">
        <f>SUMIFS(tblPlannedAlloc[PlannedHoursAllocated],tblPlannedAlloc[Month],$B$3,tblPlannedAlloc[ProjectID],"R1430.1B",tblPlannedAlloc[Engineer],"Mike")</f>
        <v>0</v>
      </c>
    </row>
    <row r="68" spans="1:3" x14ac:dyDescent="0.25">
      <c r="A68">
        <v>5</v>
      </c>
      <c r="B68">
        <v>2</v>
      </c>
      <c r="C68">
        <f>SUMIFS(tblPlannedAlloc[PlannedHoursAllocated],tblPlannedAlloc[Month],$B$3,tblPlannedAlloc[ProjectID],"R1430.1B",tblPlannedAlloc[Engineer],"Karl")</f>
        <v>0</v>
      </c>
    </row>
    <row r="69" spans="1:3" x14ac:dyDescent="0.25">
      <c r="A69">
        <v>5</v>
      </c>
      <c r="B69">
        <v>3</v>
      </c>
      <c r="C69">
        <f>SUMIFS(tblPlannedAlloc[PlannedHoursAllocated],tblPlannedAlloc[Month],$B$3,tblPlannedAlloc[ProjectID],"R1430.1B",tblPlannedAlloc[Engineer],"Brian")</f>
        <v>0</v>
      </c>
    </row>
    <row r="70" spans="1:3" x14ac:dyDescent="0.25">
      <c r="A70">
        <v>5</v>
      </c>
      <c r="B70">
        <v>4</v>
      </c>
      <c r="C70">
        <f>SUMIFS(tblPlannedAlloc[PlannedHoursAllocated],tblPlannedAlloc[Month],$B$3,tblPlannedAlloc[ProjectID],"R1430.1B",tblPlannedAlloc[Engineer],"Hannah")</f>
        <v>0</v>
      </c>
    </row>
    <row r="71" spans="1:3" x14ac:dyDescent="0.25">
      <c r="A71">
        <v>5</v>
      </c>
      <c r="B71">
        <v>5</v>
      </c>
      <c r="C71">
        <f>SUMIFS(tblPlannedAlloc[PlannedHoursAllocated],tblPlannedAlloc[Month],$B$3,tblPlannedAlloc[ProjectID],"R1430.1B",tblPlannedAlloc[Engineer],"Marcelo")</f>
        <v>120</v>
      </c>
    </row>
    <row r="72" spans="1:3" x14ac:dyDescent="0.25">
      <c r="A72">
        <v>5</v>
      </c>
      <c r="B72">
        <v>6</v>
      </c>
      <c r="C72">
        <f>SUMIFS(tblPlannedAlloc[PlannedHoursAllocated],tblPlannedAlloc[Month],$B$3,tblPlannedAlloc[ProjectID],"R1430.1B",tblPlannedAlloc[Engineer],"Justin")</f>
        <v>0</v>
      </c>
    </row>
    <row r="73" spans="1:3" x14ac:dyDescent="0.25">
      <c r="A73">
        <v>5</v>
      </c>
      <c r="B73">
        <v>7</v>
      </c>
      <c r="C73">
        <f>SUMIFS(tblPlannedAlloc[PlannedHoursAllocated],tblPlannedAlloc[Month],$B$3,tblPlannedAlloc[ProjectID],"R1430.1B",tblPlannedAlloc[Engineer],"Aaron")</f>
        <v>0</v>
      </c>
    </row>
    <row r="74" spans="1:3" x14ac:dyDescent="0.25">
      <c r="A74">
        <v>6</v>
      </c>
      <c r="B74">
        <v>1</v>
      </c>
      <c r="C74">
        <f>SUMIFS(tblPlannedAlloc[PlannedHoursAllocated],tblPlannedAlloc[Month],$B$3,tblPlannedAlloc[ProjectID],"R1430.1C",tblPlannedAlloc[Engineer],"Mike")</f>
        <v>0</v>
      </c>
    </row>
    <row r="75" spans="1:3" x14ac:dyDescent="0.25">
      <c r="A75">
        <v>6</v>
      </c>
      <c r="B75">
        <v>2</v>
      </c>
      <c r="C75">
        <f>SUMIFS(tblPlannedAlloc[PlannedHoursAllocated],tblPlannedAlloc[Month],$B$3,tblPlannedAlloc[ProjectID],"R1430.1C",tblPlannedAlloc[Engineer],"Karl")</f>
        <v>0</v>
      </c>
    </row>
    <row r="76" spans="1:3" x14ac:dyDescent="0.25">
      <c r="A76">
        <v>6</v>
      </c>
      <c r="B76">
        <v>3</v>
      </c>
      <c r="C76">
        <f>SUMIFS(tblPlannedAlloc[PlannedHoursAllocated],tblPlannedAlloc[Month],$B$3,tblPlannedAlloc[ProjectID],"R1430.1C",tblPlannedAlloc[Engineer],"Brian")</f>
        <v>0</v>
      </c>
    </row>
    <row r="77" spans="1:3" x14ac:dyDescent="0.25">
      <c r="A77">
        <v>6</v>
      </c>
      <c r="B77">
        <v>4</v>
      </c>
      <c r="C77">
        <f>SUMIFS(tblPlannedAlloc[PlannedHoursAllocated],tblPlannedAlloc[Month],$B$3,tblPlannedAlloc[ProjectID],"R1430.1C",tblPlannedAlloc[Engineer],"Hannah")</f>
        <v>0</v>
      </c>
    </row>
    <row r="78" spans="1:3" x14ac:dyDescent="0.25">
      <c r="A78">
        <v>6</v>
      </c>
      <c r="B78">
        <v>5</v>
      </c>
      <c r="C78">
        <f>SUMIFS(tblPlannedAlloc[PlannedHoursAllocated],tblPlannedAlloc[Month],$B$3,tblPlannedAlloc[ProjectID],"R1430.1C",tblPlannedAlloc[Engineer],"Marcelo")</f>
        <v>0</v>
      </c>
    </row>
    <row r="79" spans="1:3" x14ac:dyDescent="0.25">
      <c r="A79">
        <v>6</v>
      </c>
      <c r="B79">
        <v>6</v>
      </c>
      <c r="C79">
        <f>SUMIFS(tblPlannedAlloc[PlannedHoursAllocated],tblPlannedAlloc[Month],$B$3,tblPlannedAlloc[ProjectID],"R1430.1C",tblPlannedAlloc[Engineer],"Justin")</f>
        <v>120</v>
      </c>
    </row>
    <row r="80" spans="1:3" x14ac:dyDescent="0.25">
      <c r="A80">
        <v>6</v>
      </c>
      <c r="B80">
        <v>7</v>
      </c>
      <c r="C80">
        <f>SUMIFS(tblPlannedAlloc[PlannedHoursAllocated],tblPlannedAlloc[Month],$B$3,tblPlannedAlloc[ProjectID],"R1430.1C",tblPlannedAlloc[Engineer],"Aaron")</f>
        <v>0</v>
      </c>
    </row>
    <row r="81" spans="1:3" x14ac:dyDescent="0.25">
      <c r="A81">
        <v>7</v>
      </c>
      <c r="B81">
        <v>1</v>
      </c>
      <c r="C81">
        <f>SUMIFS(tblPlannedAlloc[PlannedHoursAllocated],tblPlannedAlloc[Month],$B$3,tblPlannedAlloc[ProjectID],"R1514.1",tblPlannedAlloc[Engineer],"Mike")</f>
        <v>10</v>
      </c>
    </row>
    <row r="82" spans="1:3" x14ac:dyDescent="0.25">
      <c r="A82">
        <v>7</v>
      </c>
      <c r="B82">
        <v>2</v>
      </c>
      <c r="C82">
        <f>SUMIFS(tblPlannedAlloc[PlannedHoursAllocated],tblPlannedAlloc[Month],$B$3,tblPlannedAlloc[ProjectID],"R1514.1",tblPlannedAlloc[Engineer],"Karl")</f>
        <v>0</v>
      </c>
    </row>
    <row r="83" spans="1:3" x14ac:dyDescent="0.25">
      <c r="A83">
        <v>7</v>
      </c>
      <c r="B83">
        <v>3</v>
      </c>
      <c r="C83">
        <f>SUMIFS(tblPlannedAlloc[PlannedHoursAllocated],tblPlannedAlloc[Month],$B$3,tblPlannedAlloc[ProjectID],"R1514.1",tblPlannedAlloc[Engineer],"Brian")</f>
        <v>0</v>
      </c>
    </row>
    <row r="84" spans="1:3" x14ac:dyDescent="0.25">
      <c r="A84">
        <v>7</v>
      </c>
      <c r="B84">
        <v>4</v>
      </c>
      <c r="C84">
        <f>SUMIFS(tblPlannedAlloc[PlannedHoursAllocated],tblPlannedAlloc[Month],$B$3,tblPlannedAlloc[ProjectID],"R1514.1",tblPlannedAlloc[Engineer],"Hannah")</f>
        <v>0</v>
      </c>
    </row>
    <row r="85" spans="1:3" x14ac:dyDescent="0.25">
      <c r="A85">
        <v>7</v>
      </c>
      <c r="B85">
        <v>5</v>
      </c>
      <c r="C85">
        <f>SUMIFS(tblPlannedAlloc[PlannedHoursAllocated],tblPlannedAlloc[Month],$B$3,tblPlannedAlloc[ProjectID],"R1514.1",tblPlannedAlloc[Engineer],"Marcelo")</f>
        <v>0</v>
      </c>
    </row>
    <row r="86" spans="1:3" x14ac:dyDescent="0.25">
      <c r="A86">
        <v>7</v>
      </c>
      <c r="B86">
        <v>6</v>
      </c>
      <c r="C86">
        <f>SUMIFS(tblPlannedAlloc[PlannedHoursAllocated],tblPlannedAlloc[Month],$B$3,tblPlannedAlloc[ProjectID],"R1514.1",tblPlannedAlloc[Engineer],"Justin")</f>
        <v>0</v>
      </c>
    </row>
    <row r="87" spans="1:3" x14ac:dyDescent="0.25">
      <c r="A87">
        <v>7</v>
      </c>
      <c r="B87">
        <v>7</v>
      </c>
      <c r="C87">
        <f>SUMIFS(tblPlannedAlloc[PlannedHoursAllocated],tblPlannedAlloc[Month],$B$3,tblPlannedAlloc[ProjectID],"R1514.1",tblPlannedAlloc[Engineer],"Aaron")</f>
        <v>0</v>
      </c>
    </row>
    <row r="88" spans="1:3" x14ac:dyDescent="0.25">
      <c r="A88">
        <v>8</v>
      </c>
      <c r="B88">
        <v>1</v>
      </c>
      <c r="C88">
        <f>SUMIFS(tblPlannedAlloc[PlannedHoursAllocated],tblPlannedAlloc[Month],$B$3,tblPlannedAlloc[ProjectID],"R1514.2",tblPlannedAlloc[Engineer],"Mike")</f>
        <v>0</v>
      </c>
    </row>
    <row r="89" spans="1:3" x14ac:dyDescent="0.25">
      <c r="A89">
        <v>8</v>
      </c>
      <c r="B89">
        <v>2</v>
      </c>
      <c r="C89">
        <f>SUMIFS(tblPlannedAlloc[PlannedHoursAllocated],tblPlannedAlloc[Month],$B$3,tblPlannedAlloc[ProjectID],"R1514.2",tblPlannedAlloc[Engineer],"Karl")</f>
        <v>0</v>
      </c>
    </row>
    <row r="90" spans="1:3" x14ac:dyDescent="0.25">
      <c r="A90">
        <v>8</v>
      </c>
      <c r="B90">
        <v>3</v>
      </c>
      <c r="C90">
        <f>SUMIFS(tblPlannedAlloc[PlannedHoursAllocated],tblPlannedAlloc[Month],$B$3,tblPlannedAlloc[ProjectID],"R1514.2",tblPlannedAlloc[Engineer],"Brian")</f>
        <v>0</v>
      </c>
    </row>
    <row r="91" spans="1:3" x14ac:dyDescent="0.25">
      <c r="A91">
        <v>8</v>
      </c>
      <c r="B91">
        <v>4</v>
      </c>
      <c r="C91">
        <f>SUMIFS(tblPlannedAlloc[PlannedHoursAllocated],tblPlannedAlloc[Month],$B$3,tblPlannedAlloc[ProjectID],"R1514.2",tblPlannedAlloc[Engineer],"Hannah")</f>
        <v>0</v>
      </c>
    </row>
    <row r="92" spans="1:3" x14ac:dyDescent="0.25">
      <c r="A92">
        <v>8</v>
      </c>
      <c r="B92">
        <v>5</v>
      </c>
      <c r="C92">
        <f>SUMIFS(tblPlannedAlloc[PlannedHoursAllocated],tblPlannedAlloc[Month],$B$3,tblPlannedAlloc[ProjectID],"R1514.2",tblPlannedAlloc[Engineer],"Marcelo")</f>
        <v>0</v>
      </c>
    </row>
    <row r="93" spans="1:3" x14ac:dyDescent="0.25">
      <c r="A93">
        <v>8</v>
      </c>
      <c r="B93">
        <v>6</v>
      </c>
      <c r="C93">
        <f>SUMIFS(tblPlannedAlloc[PlannedHoursAllocated],tblPlannedAlloc[Month],$B$3,tblPlannedAlloc[ProjectID],"R1514.2",tblPlannedAlloc[Engineer],"Justin")</f>
        <v>10</v>
      </c>
    </row>
    <row r="94" spans="1:3" x14ac:dyDescent="0.25">
      <c r="A94">
        <v>8</v>
      </c>
      <c r="B94">
        <v>7</v>
      </c>
      <c r="C94">
        <f>SUMIFS(tblPlannedAlloc[PlannedHoursAllocated],tblPlannedAlloc[Month],$B$3,tblPlannedAlloc[ProjectID],"R1514.2",tblPlannedAlloc[Engineer],"Aaron")</f>
        <v>0</v>
      </c>
    </row>
    <row r="95" spans="1:3" x14ac:dyDescent="0.25">
      <c r="A95">
        <v>9</v>
      </c>
      <c r="B95">
        <v>1</v>
      </c>
      <c r="C95">
        <f>SUMIFS(tblPlannedAlloc[PlannedHoursAllocated],tblPlannedAlloc[Month],$B$3,tblPlannedAlloc[ProjectID],"R1517",tblPlannedAlloc[Engineer],"Mike")</f>
        <v>0</v>
      </c>
    </row>
    <row r="96" spans="1:3" x14ac:dyDescent="0.25">
      <c r="A96">
        <v>9</v>
      </c>
      <c r="B96">
        <v>2</v>
      </c>
      <c r="C96">
        <f>SUMIFS(tblPlannedAlloc[PlannedHoursAllocated],tblPlannedAlloc[Month],$B$3,tblPlannedAlloc[ProjectID],"R1517",tblPlannedAlloc[Engineer],"Karl")</f>
        <v>0</v>
      </c>
    </row>
    <row r="97" spans="1:3" x14ac:dyDescent="0.25">
      <c r="A97">
        <v>9</v>
      </c>
      <c r="B97">
        <v>3</v>
      </c>
      <c r="C97">
        <f>SUMIFS(tblPlannedAlloc[PlannedHoursAllocated],tblPlannedAlloc[Month],$B$3,tblPlannedAlloc[ProjectID],"R1517",tblPlannedAlloc[Engineer],"Brian")</f>
        <v>0</v>
      </c>
    </row>
    <row r="98" spans="1:3" x14ac:dyDescent="0.25">
      <c r="A98">
        <v>9</v>
      </c>
      <c r="B98">
        <v>4</v>
      </c>
      <c r="C98">
        <f>SUMIFS(tblPlannedAlloc[PlannedHoursAllocated],tblPlannedAlloc[Month],$B$3,tblPlannedAlloc[ProjectID],"R1517",tblPlannedAlloc[Engineer],"Hannah")</f>
        <v>0</v>
      </c>
    </row>
    <row r="99" spans="1:3" x14ac:dyDescent="0.25">
      <c r="A99">
        <v>9</v>
      </c>
      <c r="B99">
        <v>5</v>
      </c>
      <c r="C99">
        <f>SUMIFS(tblPlannedAlloc[PlannedHoursAllocated],tblPlannedAlloc[Month],$B$3,tblPlannedAlloc[ProjectID],"R1517",tblPlannedAlloc[Engineer],"Marcelo")</f>
        <v>0</v>
      </c>
    </row>
    <row r="100" spans="1:3" x14ac:dyDescent="0.25">
      <c r="A100">
        <v>9</v>
      </c>
      <c r="B100">
        <v>6</v>
      </c>
      <c r="C100">
        <f>SUMIFS(tblPlannedAlloc[PlannedHoursAllocated],tblPlannedAlloc[Month],$B$3,tblPlannedAlloc[ProjectID],"R1517",tblPlannedAlloc[Engineer],"Justin")</f>
        <v>0</v>
      </c>
    </row>
    <row r="101" spans="1:3" x14ac:dyDescent="0.25">
      <c r="A101">
        <v>9</v>
      </c>
      <c r="B101">
        <v>7</v>
      </c>
      <c r="C101">
        <f>SUMIFS(tblPlannedAlloc[PlannedHoursAllocated],tblPlannedAlloc[Month],$B$3,tblPlannedAlloc[ProjectID],"R1517",tblPlannedAlloc[Engineer],"Aaron")</f>
        <v>0</v>
      </c>
    </row>
    <row r="102" spans="1:3" x14ac:dyDescent="0.25">
      <c r="A102">
        <v>10</v>
      </c>
      <c r="B102">
        <v>1</v>
      </c>
      <c r="C102">
        <f>SUMIFS(tblPlannedAlloc[PlannedHoursAllocated],tblPlannedAlloc[Month],$B$3,tblPlannedAlloc[ProjectID],"R1517.1",tblPlannedAlloc[Engineer],"Mike")</f>
        <v>0</v>
      </c>
    </row>
    <row r="103" spans="1:3" x14ac:dyDescent="0.25">
      <c r="A103">
        <v>10</v>
      </c>
      <c r="B103">
        <v>2</v>
      </c>
      <c r="C103">
        <f>SUMIFS(tblPlannedAlloc[PlannedHoursAllocated],tblPlannedAlloc[Month],$B$3,tblPlannedAlloc[ProjectID],"R1517.1",tblPlannedAlloc[Engineer],"Karl")</f>
        <v>0</v>
      </c>
    </row>
    <row r="104" spans="1:3" x14ac:dyDescent="0.25">
      <c r="A104">
        <v>10</v>
      </c>
      <c r="B104">
        <v>3</v>
      </c>
      <c r="C104">
        <f>SUMIFS(tblPlannedAlloc[PlannedHoursAllocated],tblPlannedAlloc[Month],$B$3,tblPlannedAlloc[ProjectID],"R1517.1",tblPlannedAlloc[Engineer],"Brian")</f>
        <v>0</v>
      </c>
    </row>
    <row r="105" spans="1:3" x14ac:dyDescent="0.25">
      <c r="A105">
        <v>10</v>
      </c>
      <c r="B105">
        <v>4</v>
      </c>
      <c r="C105">
        <f>SUMIFS(tblPlannedAlloc[PlannedHoursAllocated],tblPlannedAlloc[Month],$B$3,tblPlannedAlloc[ProjectID],"R1517.1",tblPlannedAlloc[Engineer],"Hannah")</f>
        <v>120</v>
      </c>
    </row>
    <row r="106" spans="1:3" x14ac:dyDescent="0.25">
      <c r="A106">
        <v>10</v>
      </c>
      <c r="B106">
        <v>5</v>
      </c>
      <c r="C106">
        <f>SUMIFS(tblPlannedAlloc[PlannedHoursAllocated],tblPlannedAlloc[Month],$B$3,tblPlannedAlloc[ProjectID],"R1517.1",tblPlannedAlloc[Engineer],"Marcelo")</f>
        <v>0</v>
      </c>
    </row>
    <row r="107" spans="1:3" x14ac:dyDescent="0.25">
      <c r="A107">
        <v>10</v>
      </c>
      <c r="B107">
        <v>6</v>
      </c>
      <c r="C107">
        <f>SUMIFS(tblPlannedAlloc[PlannedHoursAllocated],tblPlannedAlloc[Month],$B$3,tblPlannedAlloc[ProjectID],"R1517.1",tblPlannedAlloc[Engineer],"Justin")</f>
        <v>0</v>
      </c>
    </row>
    <row r="108" spans="1:3" x14ac:dyDescent="0.25">
      <c r="A108">
        <v>10</v>
      </c>
      <c r="B108">
        <v>7</v>
      </c>
      <c r="C108">
        <f>SUMIFS(tblPlannedAlloc[PlannedHoursAllocated],tblPlannedAlloc[Month],$B$3,tblPlannedAlloc[ProjectID],"R1517.1",tblPlannedAlloc[Engineer],"Aaron")</f>
        <v>0</v>
      </c>
    </row>
    <row r="109" spans="1:3" x14ac:dyDescent="0.25">
      <c r="A109">
        <v>11</v>
      </c>
      <c r="B109">
        <v>1</v>
      </c>
      <c r="C109">
        <f>SUMIFS(tblPlannedAlloc[PlannedHoursAllocated],tblPlannedAlloc[Month],$B$3,tblPlannedAlloc[ProjectID],"R1518",tblPlannedAlloc[Engineer],"Mike")</f>
        <v>0</v>
      </c>
    </row>
    <row r="110" spans="1:3" x14ac:dyDescent="0.25">
      <c r="A110">
        <v>11</v>
      </c>
      <c r="B110">
        <v>2</v>
      </c>
      <c r="C110">
        <f>SUMIFS(tblPlannedAlloc[PlannedHoursAllocated],tblPlannedAlloc[Month],$B$3,tblPlannedAlloc[ProjectID],"R1518",tblPlannedAlloc[Engineer],"Karl")</f>
        <v>0</v>
      </c>
    </row>
    <row r="111" spans="1:3" x14ac:dyDescent="0.25">
      <c r="A111">
        <v>11</v>
      </c>
      <c r="B111">
        <v>3</v>
      </c>
      <c r="C111">
        <f>SUMIFS(tblPlannedAlloc[PlannedHoursAllocated],tblPlannedAlloc[Month],$B$3,tblPlannedAlloc[ProjectID],"R1518",tblPlannedAlloc[Engineer],"Brian")</f>
        <v>60</v>
      </c>
    </row>
    <row r="112" spans="1:3" x14ac:dyDescent="0.25">
      <c r="A112">
        <v>11</v>
      </c>
      <c r="B112">
        <v>4</v>
      </c>
      <c r="C112">
        <f>SUMIFS(tblPlannedAlloc[PlannedHoursAllocated],tblPlannedAlloc[Month],$B$3,tblPlannedAlloc[ProjectID],"R1518",tblPlannedAlloc[Engineer],"Hannah")</f>
        <v>0</v>
      </c>
    </row>
    <row r="113" spans="1:3" x14ac:dyDescent="0.25">
      <c r="A113">
        <v>11</v>
      </c>
      <c r="B113">
        <v>5</v>
      </c>
      <c r="C113">
        <f>SUMIFS(tblPlannedAlloc[PlannedHoursAllocated],tblPlannedAlloc[Month],$B$3,tblPlannedAlloc[ProjectID],"R1518",tblPlannedAlloc[Engineer],"Marcelo")</f>
        <v>0</v>
      </c>
    </row>
    <row r="114" spans="1:3" x14ac:dyDescent="0.25">
      <c r="A114">
        <v>11</v>
      </c>
      <c r="B114">
        <v>6</v>
      </c>
      <c r="C114">
        <f>SUMIFS(tblPlannedAlloc[PlannedHoursAllocated],tblPlannedAlloc[Month],$B$3,tblPlannedAlloc[ProjectID],"R1518",tblPlannedAlloc[Engineer],"Justin")</f>
        <v>0</v>
      </c>
    </row>
    <row r="115" spans="1:3" x14ac:dyDescent="0.25">
      <c r="A115">
        <v>11</v>
      </c>
      <c r="B115">
        <v>7</v>
      </c>
      <c r="C115">
        <f>SUMIFS(tblPlannedAlloc[PlannedHoursAllocated],tblPlannedAlloc[Month],$B$3,tblPlannedAlloc[ProjectID],"R1518",tblPlannedAlloc[Engineer],"Aaron")</f>
        <v>0</v>
      </c>
    </row>
    <row r="116" spans="1:3" x14ac:dyDescent="0.25">
      <c r="A116">
        <v>12</v>
      </c>
      <c r="B116">
        <v>1</v>
      </c>
      <c r="C116">
        <f>SUMIFS(tblPlannedAlloc[PlannedHoursAllocated],tblPlannedAlloc[Month],$B$3,tblPlannedAlloc[ProjectID],"R1527",tblPlannedAlloc[Engineer],"Mike")</f>
        <v>0</v>
      </c>
    </row>
    <row r="117" spans="1:3" x14ac:dyDescent="0.25">
      <c r="A117">
        <v>12</v>
      </c>
      <c r="B117">
        <v>2</v>
      </c>
      <c r="C117">
        <f>SUMIFS(tblPlannedAlloc[PlannedHoursAllocated],tblPlannedAlloc[Month],$B$3,tblPlannedAlloc[ProjectID],"R1527",tblPlannedAlloc[Engineer],"Karl")</f>
        <v>0</v>
      </c>
    </row>
    <row r="118" spans="1:3" x14ac:dyDescent="0.25">
      <c r="A118">
        <v>12</v>
      </c>
      <c r="B118">
        <v>3</v>
      </c>
      <c r="C118">
        <f>SUMIFS(tblPlannedAlloc[PlannedHoursAllocated],tblPlannedAlloc[Month],$B$3,tblPlannedAlloc[ProjectID],"R1527",tblPlannedAlloc[Engineer],"Brian")</f>
        <v>0</v>
      </c>
    </row>
    <row r="119" spans="1:3" x14ac:dyDescent="0.25">
      <c r="A119">
        <v>12</v>
      </c>
      <c r="B119">
        <v>4</v>
      </c>
      <c r="C119">
        <f>SUMIFS(tblPlannedAlloc[PlannedHoursAllocated],tblPlannedAlloc[Month],$B$3,tblPlannedAlloc[ProjectID],"R1527",tblPlannedAlloc[Engineer],"Hannah")</f>
        <v>0</v>
      </c>
    </row>
    <row r="120" spans="1:3" x14ac:dyDescent="0.25">
      <c r="A120">
        <v>12</v>
      </c>
      <c r="B120">
        <v>5</v>
      </c>
      <c r="C120">
        <f>SUMIFS(tblPlannedAlloc[PlannedHoursAllocated],tblPlannedAlloc[Month],$B$3,tblPlannedAlloc[ProjectID],"R1527",tblPlannedAlloc[Engineer],"Marcelo")</f>
        <v>0</v>
      </c>
    </row>
    <row r="121" spans="1:3" x14ac:dyDescent="0.25">
      <c r="A121">
        <v>12</v>
      </c>
      <c r="B121">
        <v>6</v>
      </c>
      <c r="C121">
        <f>SUMIFS(tblPlannedAlloc[PlannedHoursAllocated],tblPlannedAlloc[Month],$B$3,tblPlannedAlloc[ProjectID],"R1527",tblPlannedAlloc[Engineer],"Justin")</f>
        <v>0</v>
      </c>
    </row>
    <row r="122" spans="1:3" x14ac:dyDescent="0.25">
      <c r="A122">
        <v>12</v>
      </c>
      <c r="B122">
        <v>7</v>
      </c>
      <c r="C122">
        <f>SUMIFS(tblPlannedAlloc[PlannedHoursAllocated],tblPlannedAlloc[Month],$B$3,tblPlannedAlloc[ProjectID],"R1527",tblPlannedAlloc[Engineer],"Aaron")</f>
        <v>60</v>
      </c>
    </row>
    <row r="123" spans="1:3" x14ac:dyDescent="0.25">
      <c r="A123">
        <v>13</v>
      </c>
      <c r="B123">
        <v>1</v>
      </c>
      <c r="C123">
        <f>SUMIFS(tblPlannedAlloc[PlannedHoursAllocated],tblPlannedAlloc[Month],$B$3,tblPlannedAlloc[ProjectID],"S0001",tblPlannedAlloc[Engineer],"Mike")</f>
        <v>0</v>
      </c>
    </row>
    <row r="124" spans="1:3" x14ac:dyDescent="0.25">
      <c r="A124">
        <v>13</v>
      </c>
      <c r="B124">
        <v>2</v>
      </c>
      <c r="C124">
        <f>SUMIFS(tblPlannedAlloc[PlannedHoursAllocated],tblPlannedAlloc[Month],$B$3,tblPlannedAlloc[ProjectID],"S0001",tblPlannedAlloc[Engineer],"Karl")</f>
        <v>0</v>
      </c>
    </row>
    <row r="125" spans="1:3" x14ac:dyDescent="0.25">
      <c r="A125">
        <v>13</v>
      </c>
      <c r="B125">
        <v>3</v>
      </c>
      <c r="C125">
        <f>SUMIFS(tblPlannedAlloc[PlannedHoursAllocated],tblPlannedAlloc[Month],$B$3,tblPlannedAlloc[ProjectID],"S0001",tblPlannedAlloc[Engineer],"Brian")</f>
        <v>0</v>
      </c>
    </row>
    <row r="126" spans="1:3" x14ac:dyDescent="0.25">
      <c r="A126">
        <v>13</v>
      </c>
      <c r="B126">
        <v>4</v>
      </c>
      <c r="C126">
        <f>SUMIFS(tblPlannedAlloc[PlannedHoursAllocated],tblPlannedAlloc[Month],$B$3,tblPlannedAlloc[ProjectID],"S0001",tblPlannedAlloc[Engineer],"Hannah")</f>
        <v>0</v>
      </c>
    </row>
    <row r="127" spans="1:3" x14ac:dyDescent="0.25">
      <c r="A127">
        <v>13</v>
      </c>
      <c r="B127">
        <v>5</v>
      </c>
      <c r="C127">
        <f>SUMIFS(tblPlannedAlloc[PlannedHoursAllocated],tblPlannedAlloc[Month],$B$3,tblPlannedAlloc[ProjectID],"S0001",tblPlannedAlloc[Engineer],"Marcelo")</f>
        <v>0</v>
      </c>
    </row>
    <row r="128" spans="1:3" x14ac:dyDescent="0.25">
      <c r="A128">
        <v>13</v>
      </c>
      <c r="B128">
        <v>6</v>
      </c>
      <c r="C128">
        <f>SUMIFS(tblPlannedAlloc[PlannedHoursAllocated],tblPlannedAlloc[Month],$B$3,tblPlannedAlloc[ProjectID],"S0001",tblPlannedAlloc[Engineer],"Justin")</f>
        <v>0</v>
      </c>
    </row>
    <row r="129" spans="1:3" x14ac:dyDescent="0.25">
      <c r="A129">
        <v>13</v>
      </c>
      <c r="B129">
        <v>7</v>
      </c>
      <c r="C129">
        <f>SUMIFS(tblPlannedAlloc[PlannedHoursAllocated],tblPlannedAlloc[Month],$B$3,tblPlannedAlloc[ProjectID],"S0001",tblPlannedAlloc[Engineer],"Aaron")</f>
        <v>0</v>
      </c>
    </row>
    <row r="130" spans="1:3" x14ac:dyDescent="0.25">
      <c r="A130">
        <v>14</v>
      </c>
      <c r="B130">
        <v>1</v>
      </c>
      <c r="C130">
        <f>SUMIFS(tblPlannedAlloc[PlannedHoursAllocated],tblPlannedAlloc[Month],$B$3,tblPlannedAlloc[ProjectID],"S0057",tblPlannedAlloc[Engineer],"Mike")</f>
        <v>0</v>
      </c>
    </row>
    <row r="131" spans="1:3" x14ac:dyDescent="0.25">
      <c r="A131">
        <v>14</v>
      </c>
      <c r="B131">
        <v>2</v>
      </c>
      <c r="C131">
        <f>SUMIFS(tblPlannedAlloc[PlannedHoursAllocated],tblPlannedAlloc[Month],$B$3,tblPlannedAlloc[ProjectID],"S0057",tblPlannedAlloc[Engineer],"Karl")</f>
        <v>0</v>
      </c>
    </row>
    <row r="132" spans="1:3" x14ac:dyDescent="0.25">
      <c r="A132">
        <v>14</v>
      </c>
      <c r="B132">
        <v>3</v>
      </c>
      <c r="C132">
        <f>SUMIFS(tblPlannedAlloc[PlannedHoursAllocated],tblPlannedAlloc[Month],$B$3,tblPlannedAlloc[ProjectID],"S0057",tblPlannedAlloc[Engineer],"Brian")</f>
        <v>10</v>
      </c>
    </row>
    <row r="133" spans="1:3" x14ac:dyDescent="0.25">
      <c r="A133">
        <v>14</v>
      </c>
      <c r="B133">
        <v>4</v>
      </c>
      <c r="C133">
        <f>SUMIFS(tblPlannedAlloc[PlannedHoursAllocated],tblPlannedAlloc[Month],$B$3,tblPlannedAlloc[ProjectID],"S0057",tblPlannedAlloc[Engineer],"Hannah")</f>
        <v>0</v>
      </c>
    </row>
    <row r="134" spans="1:3" x14ac:dyDescent="0.25">
      <c r="A134">
        <v>14</v>
      </c>
      <c r="B134">
        <v>5</v>
      </c>
      <c r="C134">
        <f>SUMIFS(tblPlannedAlloc[PlannedHoursAllocated],tblPlannedAlloc[Month],$B$3,tblPlannedAlloc[ProjectID],"S0057",tblPlannedAlloc[Engineer],"Marcelo")</f>
        <v>0</v>
      </c>
    </row>
    <row r="135" spans="1:3" x14ac:dyDescent="0.25">
      <c r="A135">
        <v>14</v>
      </c>
      <c r="B135">
        <v>6</v>
      </c>
      <c r="C135">
        <f>SUMIFS(tblPlannedAlloc[PlannedHoursAllocated],tblPlannedAlloc[Month],$B$3,tblPlannedAlloc[ProjectID],"S0057",tblPlannedAlloc[Engineer],"Justin")</f>
        <v>0</v>
      </c>
    </row>
    <row r="136" spans="1:3" x14ac:dyDescent="0.25">
      <c r="A136">
        <v>14</v>
      </c>
      <c r="B136">
        <v>7</v>
      </c>
      <c r="C136">
        <f>SUMIFS(tblPlannedAlloc[PlannedHoursAllocated],tblPlannedAlloc[Month],$B$3,tblPlannedAlloc[ProjectID],"S0057",tblPlannedAlloc[Engineer],"Aaron")</f>
        <v>0</v>
      </c>
    </row>
    <row r="137" spans="1:3" x14ac:dyDescent="0.25">
      <c r="A137">
        <v>15</v>
      </c>
      <c r="B137">
        <v>1</v>
      </c>
      <c r="C137">
        <f>SUMIFS(tblPlannedAlloc[PlannedHoursAllocated],tblPlannedAlloc[Month],$B$3,tblPlannedAlloc[ProjectID],"S0013",tblPlannedAlloc[Engineer],"Mike")</f>
        <v>0</v>
      </c>
    </row>
    <row r="138" spans="1:3" x14ac:dyDescent="0.25">
      <c r="A138">
        <v>15</v>
      </c>
      <c r="B138">
        <v>2</v>
      </c>
      <c r="C138">
        <f>SUMIFS(tblPlannedAlloc[PlannedHoursAllocated],tblPlannedAlloc[Month],$B$3,tblPlannedAlloc[ProjectID],"S0013",tblPlannedAlloc[Engineer],"Karl")</f>
        <v>0</v>
      </c>
    </row>
    <row r="139" spans="1:3" x14ac:dyDescent="0.25">
      <c r="A139">
        <v>15</v>
      </c>
      <c r="B139">
        <v>3</v>
      </c>
      <c r="C139">
        <f>SUMIFS(tblPlannedAlloc[PlannedHoursAllocated],tblPlannedAlloc[Month],$B$3,tblPlannedAlloc[ProjectID],"S0013",tblPlannedAlloc[Engineer],"Brian")</f>
        <v>0</v>
      </c>
    </row>
    <row r="140" spans="1:3" x14ac:dyDescent="0.25">
      <c r="A140">
        <v>15</v>
      </c>
      <c r="B140">
        <v>4</v>
      </c>
      <c r="C140">
        <f>SUMIFS(tblPlannedAlloc[PlannedHoursAllocated],tblPlannedAlloc[Month],$B$3,tblPlannedAlloc[ProjectID],"S0013",tblPlannedAlloc[Engineer],"Hannah")</f>
        <v>0</v>
      </c>
    </row>
    <row r="141" spans="1:3" x14ac:dyDescent="0.25">
      <c r="A141">
        <v>15</v>
      </c>
      <c r="B141">
        <v>5</v>
      </c>
      <c r="C141">
        <f>SUMIFS(tblPlannedAlloc[PlannedHoursAllocated],tblPlannedAlloc[Month],$B$3,tblPlannedAlloc[ProjectID],"S0013",tblPlannedAlloc[Engineer],"Marcelo")</f>
        <v>0</v>
      </c>
    </row>
    <row r="142" spans="1:3" x14ac:dyDescent="0.25">
      <c r="A142">
        <v>15</v>
      </c>
      <c r="B142">
        <v>6</v>
      </c>
      <c r="C142">
        <f>SUMIFS(tblPlannedAlloc[PlannedHoursAllocated],tblPlannedAlloc[Month],$B$3,tblPlannedAlloc[ProjectID],"S0013",tblPlannedAlloc[Engineer],"Justin")</f>
        <v>0</v>
      </c>
    </row>
    <row r="143" spans="1:3" x14ac:dyDescent="0.25">
      <c r="A143">
        <v>15</v>
      </c>
      <c r="B143">
        <v>7</v>
      </c>
      <c r="C143">
        <f>SUMIFS(tblPlannedAlloc[PlannedHoursAllocated],tblPlannedAlloc[Month],$B$3,tblPlannedAlloc[ProjectID],"S0013",tblPlannedAlloc[Engineer],"Aaron")</f>
        <v>0</v>
      </c>
    </row>
    <row r="144" spans="1:3" x14ac:dyDescent="0.25">
      <c r="A144">
        <v>16</v>
      </c>
      <c r="B144">
        <v>1</v>
      </c>
      <c r="C144">
        <f>SUMIFS(tblPlannedAlloc[PlannedHoursAllocated],tblPlannedAlloc[Month],$B$3,tblPlannedAlloc[ProjectID],"S0062",tblPlannedAlloc[Engineer],"Mike")</f>
        <v>0</v>
      </c>
    </row>
    <row r="145" spans="1:5" x14ac:dyDescent="0.25">
      <c r="A145">
        <v>16</v>
      </c>
      <c r="B145">
        <v>2</v>
      </c>
      <c r="C145">
        <f>SUMIFS(tblPlannedAlloc[PlannedHoursAllocated],tblPlannedAlloc[Month],$B$3,tblPlannedAlloc[ProjectID],"S0062",tblPlannedAlloc[Engineer],"Karl")</f>
        <v>0</v>
      </c>
    </row>
    <row r="146" spans="1:5" x14ac:dyDescent="0.25">
      <c r="A146">
        <v>16</v>
      </c>
      <c r="B146">
        <v>3</v>
      </c>
      <c r="C146">
        <f>SUMIFS(tblPlannedAlloc[PlannedHoursAllocated],tblPlannedAlloc[Month],$B$3,tblPlannedAlloc[ProjectID],"S0062",tblPlannedAlloc[Engineer],"Brian")</f>
        <v>0</v>
      </c>
    </row>
    <row r="147" spans="1:5" x14ac:dyDescent="0.25">
      <c r="A147">
        <v>16</v>
      </c>
      <c r="B147">
        <v>4</v>
      </c>
      <c r="C147">
        <f>SUMIFS(tblPlannedAlloc[PlannedHoursAllocated],tblPlannedAlloc[Month],$B$3,tblPlannedAlloc[ProjectID],"S0062",tblPlannedAlloc[Engineer],"Hannah")</f>
        <v>0</v>
      </c>
    </row>
    <row r="148" spans="1:5" x14ac:dyDescent="0.25">
      <c r="A148">
        <v>16</v>
      </c>
      <c r="B148">
        <v>5</v>
      </c>
      <c r="C148">
        <f>SUMIFS(tblPlannedAlloc[PlannedHoursAllocated],tblPlannedAlloc[Month],$B$3,tblPlannedAlloc[ProjectID],"S0062",tblPlannedAlloc[Engineer],"Marcelo")</f>
        <v>0</v>
      </c>
    </row>
    <row r="149" spans="1:5" x14ac:dyDescent="0.25">
      <c r="A149">
        <v>16</v>
      </c>
      <c r="B149">
        <v>6</v>
      </c>
      <c r="C149">
        <f>SUMIFS(tblPlannedAlloc[PlannedHoursAllocated],tblPlannedAlloc[Month],$B$3,tblPlannedAlloc[ProjectID],"S0062",tblPlannedAlloc[Engineer],"Justin")</f>
        <v>0</v>
      </c>
    </row>
    <row r="150" spans="1:5" x14ac:dyDescent="0.25">
      <c r="A150">
        <v>16</v>
      </c>
      <c r="B150">
        <v>7</v>
      </c>
      <c r="C150">
        <f>SUMIFS(tblPlannedAlloc[PlannedHoursAllocated],tblPlannedAlloc[Month],$B$3,tblPlannedAlloc[ProjectID],"S0062",tblPlannedAlloc[Engineer],"Aaron")</f>
        <v>60</v>
      </c>
    </row>
    <row r="153" spans="1:5" ht="30" customHeight="1" x14ac:dyDescent="0.25">
      <c r="A153" s="3" t="s">
        <v>144</v>
      </c>
      <c r="B153" s="3" t="s">
        <v>116</v>
      </c>
      <c r="C153" s="3" t="s">
        <v>117</v>
      </c>
      <c r="D153" s="3" t="s">
        <v>118</v>
      </c>
      <c r="E153" s="3" t="s">
        <v>119</v>
      </c>
    </row>
    <row r="154" spans="1:5" x14ac:dyDescent="0.25">
      <c r="A154">
        <v>1</v>
      </c>
      <c r="B154">
        <f>IFERROR(VLOOKUP("R1337.1",Milestones!A:E,2,FALSE),"")</f>
        <v>0</v>
      </c>
      <c r="C154">
        <f>IFERROR(VLOOKUP("R1337.1",Milestones!A:E,3,FALSE),"")</f>
        <v>0</v>
      </c>
      <c r="D154">
        <f>IFERROR(VLOOKUP("R1337.1",Milestones!A:E,4,FALSE),"")</f>
        <v>0</v>
      </c>
      <c r="E154">
        <f>IFERROR(VLOOKUP("R1337.1",Milestones!A:E,5,FALSE),"")</f>
        <v>0</v>
      </c>
    </row>
    <row r="155" spans="1:5" x14ac:dyDescent="0.25">
      <c r="A155">
        <v>2</v>
      </c>
      <c r="B155">
        <f>IFERROR(VLOOKUP("R1337.3",Milestones!A:E,2,FALSE),"")</f>
        <v>0</v>
      </c>
      <c r="C155">
        <f>IFERROR(VLOOKUP("R1337.3",Milestones!A:E,3,FALSE),"")</f>
        <v>0</v>
      </c>
      <c r="D155">
        <f>IFERROR(VLOOKUP("R1337.3",Milestones!A:E,4,FALSE),"")</f>
        <v>0</v>
      </c>
      <c r="E155">
        <f>IFERROR(VLOOKUP("R1337.3",Milestones!A:E,5,FALSE),"")</f>
        <v>0</v>
      </c>
    </row>
    <row r="156" spans="1:5" x14ac:dyDescent="0.25">
      <c r="A156">
        <v>3</v>
      </c>
      <c r="B156">
        <f>IFERROR(VLOOKUP("R1337.2",Milestones!A:E,2,FALSE),"")</f>
        <v>0</v>
      </c>
      <c r="C156">
        <f>IFERROR(VLOOKUP("R1337.2",Milestones!A:E,3,FALSE),"")</f>
        <v>0</v>
      </c>
      <c r="D156">
        <f>IFERROR(VLOOKUP("R1337.2",Milestones!A:E,4,FALSE),"")</f>
        <v>0</v>
      </c>
      <c r="E156">
        <f>IFERROR(VLOOKUP("R1337.2",Milestones!A:E,5,FALSE),"")</f>
        <v>0</v>
      </c>
    </row>
    <row r="157" spans="1:5" x14ac:dyDescent="0.25">
      <c r="A157">
        <v>4</v>
      </c>
      <c r="B157">
        <f>IFERROR(VLOOKUP("R1430.1A",Milestones!A:E,2,FALSE),"")</f>
        <v>0</v>
      </c>
      <c r="C157">
        <f>IFERROR(VLOOKUP("R1430.1A",Milestones!A:E,3,FALSE),"")</f>
        <v>0</v>
      </c>
      <c r="D157">
        <f>IFERROR(VLOOKUP("R1430.1A",Milestones!A:E,4,FALSE),"")</f>
        <v>0</v>
      </c>
      <c r="E157">
        <f>IFERROR(VLOOKUP("R1430.1A",Milestones!A:E,5,FALSE),"")</f>
        <v>0</v>
      </c>
    </row>
    <row r="158" spans="1:5" x14ac:dyDescent="0.25">
      <c r="A158">
        <v>5</v>
      </c>
      <c r="B158">
        <f>IFERROR(VLOOKUP("R1430.1B",Milestones!A:E,2,FALSE),"")</f>
        <v>0</v>
      </c>
      <c r="C158">
        <f>IFERROR(VLOOKUP("R1430.1B",Milestones!A:E,3,FALSE),"")</f>
        <v>0</v>
      </c>
      <c r="D158">
        <f>IFERROR(VLOOKUP("R1430.1B",Milestones!A:E,4,FALSE),"")</f>
        <v>0</v>
      </c>
      <c r="E158">
        <f>IFERROR(VLOOKUP("R1430.1B",Milestones!A:E,5,FALSE),"")</f>
        <v>0</v>
      </c>
    </row>
    <row r="159" spans="1:5" x14ac:dyDescent="0.25">
      <c r="A159">
        <v>6</v>
      </c>
      <c r="B159">
        <f>IFERROR(VLOOKUP("R1430.1C",Milestones!A:E,2,FALSE),"")</f>
        <v>0</v>
      </c>
      <c r="C159">
        <f>IFERROR(VLOOKUP("R1430.1C",Milestones!A:E,3,FALSE),"")</f>
        <v>0</v>
      </c>
      <c r="D159">
        <f>IFERROR(VLOOKUP("R1430.1C",Milestones!A:E,4,FALSE),"")</f>
        <v>0</v>
      </c>
      <c r="E159">
        <f>IFERROR(VLOOKUP("R1430.1C",Milestones!A:E,5,FALSE),"")</f>
        <v>0</v>
      </c>
    </row>
    <row r="160" spans="1:5" x14ac:dyDescent="0.25">
      <c r="A160">
        <v>7</v>
      </c>
      <c r="B160">
        <f>IFERROR(VLOOKUP("R1514.1",Milestones!A:E,2,FALSE),"")</f>
        <v>0</v>
      </c>
      <c r="C160">
        <f>IFERROR(VLOOKUP("R1514.1",Milestones!A:E,3,FALSE),"")</f>
        <v>0</v>
      </c>
      <c r="D160">
        <f>IFERROR(VLOOKUP("R1514.1",Milestones!A:E,4,FALSE),"")</f>
        <v>0</v>
      </c>
      <c r="E160">
        <f>IFERROR(VLOOKUP("R1514.1",Milestones!A:E,5,FALSE),"")</f>
        <v>0</v>
      </c>
    </row>
    <row r="161" spans="1:5" x14ac:dyDescent="0.25">
      <c r="A161">
        <v>8</v>
      </c>
      <c r="B161">
        <f>IFERROR(VLOOKUP("R1514.2",Milestones!A:E,2,FALSE),"")</f>
        <v>0</v>
      </c>
      <c r="C161">
        <f>IFERROR(VLOOKUP("R1514.2",Milestones!A:E,3,FALSE),"")</f>
        <v>0</v>
      </c>
      <c r="D161">
        <f>IFERROR(VLOOKUP("R1514.2",Milestones!A:E,4,FALSE),"")</f>
        <v>0</v>
      </c>
      <c r="E161">
        <f>IFERROR(VLOOKUP("R1514.2",Milestones!A:E,5,FALSE),"")</f>
        <v>0</v>
      </c>
    </row>
    <row r="162" spans="1:5" x14ac:dyDescent="0.25">
      <c r="A162">
        <v>9</v>
      </c>
      <c r="B162">
        <f>IFERROR(VLOOKUP("R1517",Milestones!A:E,2,FALSE),"")</f>
        <v>0</v>
      </c>
      <c r="C162">
        <f>IFERROR(VLOOKUP("R1517",Milestones!A:E,3,FALSE),"")</f>
        <v>0</v>
      </c>
      <c r="D162">
        <f>IFERROR(VLOOKUP("R1517",Milestones!A:E,4,FALSE),"")</f>
        <v>0</v>
      </c>
      <c r="E162">
        <f>IFERROR(VLOOKUP("R1517",Milestones!A:E,5,FALSE),"")</f>
        <v>0</v>
      </c>
    </row>
    <row r="163" spans="1:5" x14ac:dyDescent="0.25">
      <c r="A163">
        <v>10</v>
      </c>
      <c r="B163">
        <f>IFERROR(VLOOKUP("R1517.1",Milestones!A:E,2,FALSE),"")</f>
        <v>0</v>
      </c>
      <c r="C163">
        <f>IFERROR(VLOOKUP("R1517.1",Milestones!A:E,3,FALSE),"")</f>
        <v>0</v>
      </c>
      <c r="D163">
        <f>IFERROR(VLOOKUP("R1517.1",Milestones!A:E,4,FALSE),"")</f>
        <v>0</v>
      </c>
      <c r="E163">
        <f>IFERROR(VLOOKUP("R1517.1",Milestones!A:E,5,FALSE),"")</f>
        <v>0</v>
      </c>
    </row>
    <row r="164" spans="1:5" x14ac:dyDescent="0.25">
      <c r="A164">
        <v>11</v>
      </c>
      <c r="B164">
        <f>IFERROR(VLOOKUP("R1518",Milestones!A:E,2,FALSE),"")</f>
        <v>45692</v>
      </c>
      <c r="C164">
        <f>IFERROR(VLOOKUP("R1518",Milestones!A:E,3,FALSE),"")</f>
        <v>45820</v>
      </c>
      <c r="D164">
        <f>IFERROR(VLOOKUP("R1518",Milestones!A:E,4,FALSE),"")</f>
        <v>46094</v>
      </c>
      <c r="E164">
        <f>IFERROR(VLOOKUP("R1518",Milestones!A:E,5,FALSE),"")</f>
        <v>46296</v>
      </c>
    </row>
    <row r="165" spans="1:5" x14ac:dyDescent="0.25">
      <c r="A165">
        <v>12</v>
      </c>
      <c r="B165">
        <f>IFERROR(VLOOKUP("R1527",Milestones!A:E,2,FALSE),"")</f>
        <v>0</v>
      </c>
      <c r="C165">
        <f>IFERROR(VLOOKUP("R1527",Milestones!A:E,3,FALSE),"")</f>
        <v>0</v>
      </c>
      <c r="D165">
        <f>IFERROR(VLOOKUP("R1527",Milestones!A:E,4,FALSE),"")</f>
        <v>0</v>
      </c>
      <c r="E165">
        <f>IFERROR(VLOOKUP("R1527",Milestones!A:E,5,FALSE),"")</f>
        <v>0</v>
      </c>
    </row>
    <row r="168" spans="1:5" x14ac:dyDescent="0.25">
      <c r="A168" s="12" t="s">
        <v>147</v>
      </c>
    </row>
    <row r="169" spans="1:5" x14ac:dyDescent="0.25">
      <c r="A169" s="13" t="s">
        <v>148</v>
      </c>
      <c r="B169" s="13" t="s">
        <v>24</v>
      </c>
      <c r="C169" s="13" t="s">
        <v>50</v>
      </c>
      <c r="D169" s="13" t="s">
        <v>92</v>
      </c>
    </row>
    <row r="170" spans="1:5" x14ac:dyDescent="0.25">
      <c r="A170" t="s">
        <v>149</v>
      </c>
      <c r="B170">
        <f>B7</f>
        <v>650</v>
      </c>
      <c r="C170">
        <f>C7</f>
        <v>70</v>
      </c>
      <c r="D170">
        <f>D7</f>
        <v>10</v>
      </c>
    </row>
    <row r="171" spans="1:5" x14ac:dyDescent="0.25">
      <c r="A171" t="s">
        <v>150</v>
      </c>
      <c r="B171">
        <f>E7</f>
        <v>670</v>
      </c>
      <c r="C171">
        <f>F7</f>
        <v>231.25</v>
      </c>
      <c r="D171">
        <f>G7</f>
        <v>0</v>
      </c>
    </row>
    <row r="172" spans="1:5" x14ac:dyDescent="0.25">
      <c r="A172" t="s">
        <v>151</v>
      </c>
      <c r="B172">
        <f>B8</f>
        <v>0</v>
      </c>
      <c r="C172">
        <f>C8</f>
        <v>0</v>
      </c>
      <c r="D172">
        <f>D8</f>
        <v>0</v>
      </c>
    </row>
    <row r="173" spans="1:5" x14ac:dyDescent="0.25">
      <c r="A173" t="s">
        <v>152</v>
      </c>
      <c r="B173">
        <f>E8</f>
        <v>0</v>
      </c>
      <c r="C173">
        <f>F8</f>
        <v>0</v>
      </c>
      <c r="D173">
        <f>G8</f>
        <v>0</v>
      </c>
    </row>
    <row r="174" spans="1:5" x14ac:dyDescent="0.25">
      <c r="A174" t="s">
        <v>153</v>
      </c>
      <c r="B174">
        <f>B9</f>
        <v>0</v>
      </c>
      <c r="C174">
        <f>C9</f>
        <v>0</v>
      </c>
      <c r="D174">
        <f>D9</f>
        <v>0</v>
      </c>
    </row>
    <row r="175" spans="1:5" x14ac:dyDescent="0.25">
      <c r="A175" t="s">
        <v>154</v>
      </c>
      <c r="B175">
        <f>E9</f>
        <v>0</v>
      </c>
      <c r="C175">
        <f>F9</f>
        <v>0</v>
      </c>
      <c r="D175">
        <f>G9</f>
        <v>0</v>
      </c>
    </row>
    <row r="176" spans="1:5" x14ac:dyDescent="0.25">
      <c r="A176" t="s">
        <v>155</v>
      </c>
      <c r="B176">
        <f>B10</f>
        <v>0</v>
      </c>
      <c r="C176">
        <f>C10</f>
        <v>0</v>
      </c>
      <c r="D176">
        <f>D10</f>
        <v>0</v>
      </c>
    </row>
    <row r="177" spans="1:4" x14ac:dyDescent="0.25">
      <c r="A177" t="s">
        <v>156</v>
      </c>
      <c r="B177">
        <f>E10</f>
        <v>0</v>
      </c>
      <c r="C177">
        <f>F10</f>
        <v>0</v>
      </c>
      <c r="D177">
        <f>G10</f>
        <v>0</v>
      </c>
    </row>
    <row r="178" spans="1:4" x14ac:dyDescent="0.25">
      <c r="A178" t="s">
        <v>157</v>
      </c>
      <c r="B178">
        <f>B11</f>
        <v>0</v>
      </c>
      <c r="C178">
        <f>C11</f>
        <v>0</v>
      </c>
      <c r="D178">
        <f>D11</f>
        <v>0</v>
      </c>
    </row>
    <row r="179" spans="1:4" x14ac:dyDescent="0.25">
      <c r="A179" t="s">
        <v>158</v>
      </c>
      <c r="B179">
        <f>E11</f>
        <v>0</v>
      </c>
      <c r="C179">
        <f>F11</f>
        <v>0</v>
      </c>
      <c r="D179">
        <f>G11</f>
        <v>0</v>
      </c>
    </row>
    <row r="180" spans="1:4" x14ac:dyDescent="0.25">
      <c r="A180" t="s">
        <v>159</v>
      </c>
      <c r="B180">
        <f>B12</f>
        <v>0</v>
      </c>
      <c r="C180">
        <f>C12</f>
        <v>0</v>
      </c>
      <c r="D180">
        <f>D12</f>
        <v>0</v>
      </c>
    </row>
    <row r="181" spans="1:4" x14ac:dyDescent="0.25">
      <c r="A181" t="s">
        <v>160</v>
      </c>
      <c r="B181">
        <f>E12</f>
        <v>0</v>
      </c>
      <c r="C181">
        <f>F12</f>
        <v>0</v>
      </c>
      <c r="D181">
        <f>G12</f>
        <v>0</v>
      </c>
    </row>
    <row r="182" spans="1:4" x14ac:dyDescent="0.25">
      <c r="A182" t="s">
        <v>161</v>
      </c>
      <c r="B182">
        <f>B13</f>
        <v>0</v>
      </c>
      <c r="C182">
        <f>C13</f>
        <v>0</v>
      </c>
      <c r="D182">
        <f>D13</f>
        <v>0</v>
      </c>
    </row>
    <row r="183" spans="1:4" x14ac:dyDescent="0.25">
      <c r="A183" t="s">
        <v>162</v>
      </c>
      <c r="B183">
        <f>E13</f>
        <v>0</v>
      </c>
      <c r="C183">
        <f>F13</f>
        <v>0</v>
      </c>
      <c r="D183">
        <f>G13</f>
        <v>0</v>
      </c>
    </row>
    <row r="184" spans="1:4" x14ac:dyDescent="0.25">
      <c r="A184" t="s">
        <v>163</v>
      </c>
      <c r="B184">
        <f>B14</f>
        <v>0</v>
      </c>
      <c r="C184">
        <f>C14</f>
        <v>0</v>
      </c>
      <c r="D184">
        <f>D14</f>
        <v>0</v>
      </c>
    </row>
    <row r="185" spans="1:4" x14ac:dyDescent="0.25">
      <c r="A185" t="s">
        <v>164</v>
      </c>
      <c r="B185">
        <f>E14</f>
        <v>0</v>
      </c>
      <c r="C185">
        <f>F14</f>
        <v>0</v>
      </c>
      <c r="D185">
        <f>G14</f>
        <v>0</v>
      </c>
    </row>
    <row r="186" spans="1:4" x14ac:dyDescent="0.25">
      <c r="A186" t="s">
        <v>165</v>
      </c>
      <c r="B186">
        <f>B15</f>
        <v>0</v>
      </c>
      <c r="C186">
        <f>C15</f>
        <v>0</v>
      </c>
      <c r="D186">
        <f>D15</f>
        <v>0</v>
      </c>
    </row>
    <row r="187" spans="1:4" x14ac:dyDescent="0.25">
      <c r="A187" t="s">
        <v>166</v>
      </c>
      <c r="B187">
        <f>E15</f>
        <v>0</v>
      </c>
      <c r="C187">
        <f>F15</f>
        <v>0</v>
      </c>
      <c r="D187">
        <f>G15</f>
        <v>0</v>
      </c>
    </row>
    <row r="188" spans="1:4" x14ac:dyDescent="0.25">
      <c r="A188" t="s">
        <v>167</v>
      </c>
      <c r="B188">
        <f>B16</f>
        <v>0</v>
      </c>
      <c r="C188">
        <f>C16</f>
        <v>0</v>
      </c>
      <c r="D188">
        <f>D16</f>
        <v>0</v>
      </c>
    </row>
    <row r="189" spans="1:4" x14ac:dyDescent="0.25">
      <c r="A189" t="s">
        <v>168</v>
      </c>
      <c r="B189">
        <f>E16</f>
        <v>0</v>
      </c>
      <c r="C189">
        <f>F16</f>
        <v>0</v>
      </c>
      <c r="D189">
        <f>G16</f>
        <v>0</v>
      </c>
    </row>
    <row r="190" spans="1:4" x14ac:dyDescent="0.25">
      <c r="A190" t="s">
        <v>169</v>
      </c>
      <c r="B190">
        <f>B17</f>
        <v>0</v>
      </c>
      <c r="C190">
        <f>C17</f>
        <v>0</v>
      </c>
      <c r="D190">
        <f>D17</f>
        <v>0</v>
      </c>
    </row>
    <row r="191" spans="1:4" x14ac:dyDescent="0.25">
      <c r="A191" t="s">
        <v>170</v>
      </c>
      <c r="B191">
        <f>E17</f>
        <v>0</v>
      </c>
      <c r="C191">
        <f>F17</f>
        <v>0</v>
      </c>
      <c r="D191">
        <f>G17</f>
        <v>0</v>
      </c>
    </row>
    <row r="192" spans="1:4" x14ac:dyDescent="0.25">
      <c r="A192" t="s">
        <v>171</v>
      </c>
      <c r="B192">
        <f>B18</f>
        <v>0</v>
      </c>
      <c r="C192">
        <f>C18</f>
        <v>0</v>
      </c>
      <c r="D192">
        <f>D18</f>
        <v>0</v>
      </c>
    </row>
    <row r="193" spans="1:4" x14ac:dyDescent="0.25">
      <c r="A193" t="s">
        <v>172</v>
      </c>
      <c r="B193">
        <f>E18</f>
        <v>0</v>
      </c>
      <c r="C193">
        <f>F18</f>
        <v>0</v>
      </c>
      <c r="D193">
        <f>G18</f>
        <v>0</v>
      </c>
    </row>
    <row r="196" spans="1:4" x14ac:dyDescent="0.25">
      <c r="A196" s="16" t="s">
        <v>173</v>
      </c>
    </row>
    <row r="197" spans="1:4" ht="30" customHeight="1" x14ac:dyDescent="0.25">
      <c r="A197" s="17" t="s">
        <v>174</v>
      </c>
      <c r="B197" s="17" t="s">
        <v>146</v>
      </c>
      <c r="C197" s="17" t="s">
        <v>124</v>
      </c>
    </row>
    <row r="198" spans="1:4" x14ac:dyDescent="0.25">
      <c r="A198" t="s">
        <v>175</v>
      </c>
      <c r="B198">
        <f>SUMIFS(tblPlannedAlloc[PlannedHoursAllocated],tblPlannedAlloc[Month],Params!$B$3,tblPlannedAlloc[ProjectType],"NPD",tblPlannedAlloc[ProjectID],$A198&amp;"*")</f>
        <v>30</v>
      </c>
      <c r="C198">
        <f>SUMIFS(tblActualHours[ActualHours],tblActualHours[Month],Params!$B$3,tblActualHours[ProjectType],"NPD",tblActualHours[ProjectID],$A198&amp;"*")</f>
        <v>48</v>
      </c>
    </row>
    <row r="199" spans="1:4" x14ac:dyDescent="0.25">
      <c r="A199" t="s">
        <v>176</v>
      </c>
      <c r="B199">
        <f>SUMIFS(tblPlannedAlloc[PlannedHoursAllocated],tblPlannedAlloc[Month],Params!$B$3,tblPlannedAlloc[ProjectType],"NPD",tblPlannedAlloc[ProjectID],$A199&amp;"*")</f>
        <v>360</v>
      </c>
      <c r="C199">
        <f>SUMIFS(tblActualHours[ActualHours],tblActualHours[Month],Params!$B$3,tblActualHours[ProjectType],"NPD",tblActualHours[ProjectID],$A199&amp;"*")</f>
        <v>346.25</v>
      </c>
    </row>
    <row r="200" spans="1:4" x14ac:dyDescent="0.25">
      <c r="A200" t="s">
        <v>177</v>
      </c>
      <c r="B200">
        <f>SUMIFS(tblPlannedAlloc[PlannedHoursAllocated],tblPlannedAlloc[Month],Params!$B$3,tblPlannedAlloc[ProjectType],"NPD",tblPlannedAlloc[ProjectID],$A200&amp;"*")</f>
        <v>20</v>
      </c>
      <c r="C200">
        <f>SUMIFS(tblActualHours[ActualHours],tblActualHours[Month],Params!$B$3,tblActualHours[ProjectType],"NPD",tblActualHours[ProjectID],$A200&amp;"*")</f>
        <v>59.5</v>
      </c>
    </row>
    <row r="201" spans="1:4" x14ac:dyDescent="0.25">
      <c r="A201" t="s">
        <v>40</v>
      </c>
      <c r="B201">
        <f>SUMIFS(tblPlannedAlloc[PlannedHoursAllocated],tblPlannedAlloc[Month],Params!$B$3,tblPlannedAlloc[ProjectType],"NPD",tblPlannedAlloc[ProjectID],$A201&amp;"*")</f>
        <v>120</v>
      </c>
      <c r="C201">
        <f>SUMIFS(tblActualHours[ActualHours],tblActualHours[Month],Params!$B$3,tblActualHours[ProjectType],"NPD",tblActualHours[ProjectID],$A201&amp;"*")</f>
        <v>143.5</v>
      </c>
    </row>
    <row r="202" spans="1:4" x14ac:dyDescent="0.25">
      <c r="A202" t="s">
        <v>44</v>
      </c>
      <c r="B202">
        <f>SUMIFS(tblPlannedAlloc[PlannedHoursAllocated],tblPlannedAlloc[Month],Params!$B$3,tblPlannedAlloc[ProjectType],"NPD",tblPlannedAlloc[ProjectID],$A202&amp;"*")</f>
        <v>60</v>
      </c>
      <c r="C202">
        <f>SUMIFS(tblActualHours[ActualHours],tblActualHours[Month],Params!$B$3,tblActualHours[ProjectType],"NPD",tblActualHours[ProjectID],$A202&amp;"*")</f>
        <v>42.75</v>
      </c>
    </row>
    <row r="203" spans="1:4" x14ac:dyDescent="0.25">
      <c r="A203" t="s">
        <v>46</v>
      </c>
      <c r="B203">
        <f>SUMIFS(tblPlannedAlloc[PlannedHoursAllocated],tblPlannedAlloc[Month],Params!$B$3,tblPlannedAlloc[ProjectType],"NPD",tblPlannedAlloc[ProjectID],$A203&amp;"*")</f>
        <v>60</v>
      </c>
      <c r="C203">
        <f>SUMIFS(tblActualHours[ActualHours],tblActualHours[Month],Params!$B$3,tblActualHours[ProjectType],"NPD",tblActualHours[ProjectID],$A203&amp;"*")</f>
        <v>30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3"/>
  <sheetViews>
    <sheetView workbookViewId="0">
      <selection activeCell="S65" sqref="S65"/>
    </sheetView>
  </sheetViews>
  <sheetFormatPr defaultRowHeight="15" x14ac:dyDescent="0.25"/>
  <cols>
    <col min="1" max="1" width="16" customWidth="1"/>
    <col min="2" max="15" width="18" customWidth="1"/>
  </cols>
  <sheetData>
    <row r="1" spans="1:15" ht="23.25" customHeight="1" x14ac:dyDescent="0.35">
      <c r="A1" s="7" t="s">
        <v>178</v>
      </c>
    </row>
    <row r="2" spans="1:15" x14ac:dyDescent="0.25">
      <c r="A2" s="8" t="s">
        <v>179</v>
      </c>
    </row>
    <row r="4" spans="1:15" x14ac:dyDescent="0.25">
      <c r="A4" s="6" t="s">
        <v>180</v>
      </c>
    </row>
    <row r="5" spans="1:15" ht="30" customHeight="1" x14ac:dyDescent="0.25">
      <c r="A5" s="19" t="s">
        <v>93</v>
      </c>
      <c r="B5" s="19" t="s">
        <v>102</v>
      </c>
      <c r="C5" s="19" t="s">
        <v>103</v>
      </c>
      <c r="D5" s="19" t="s">
        <v>104</v>
      </c>
      <c r="E5" s="19" t="s">
        <v>105</v>
      </c>
      <c r="F5" s="19" t="s">
        <v>106</v>
      </c>
      <c r="G5" s="19" t="s">
        <v>107</v>
      </c>
      <c r="H5" s="19" t="s">
        <v>108</v>
      </c>
      <c r="I5" s="19" t="s">
        <v>109</v>
      </c>
      <c r="J5" s="19" t="s">
        <v>110</v>
      </c>
      <c r="K5" s="19" t="s">
        <v>111</v>
      </c>
      <c r="L5" s="19" t="s">
        <v>112</v>
      </c>
      <c r="M5" s="19" t="s">
        <v>113</v>
      </c>
      <c r="N5" s="19" t="s">
        <v>114</v>
      </c>
      <c r="O5" s="19" t="s">
        <v>115</v>
      </c>
    </row>
    <row r="6" spans="1:15" x14ac:dyDescent="0.25">
      <c r="A6" s="14" t="str">
        <f>Skills!A2</f>
        <v>Mike</v>
      </c>
      <c r="B6" s="20">
        <f>Skills!B2</f>
        <v>0</v>
      </c>
      <c r="C6" s="20">
        <f>Skills!C2</f>
        <v>0</v>
      </c>
      <c r="D6" s="20">
        <f>Skills!D2</f>
        <v>0</v>
      </c>
      <c r="E6" s="20">
        <f>Skills!E2</f>
        <v>0</v>
      </c>
      <c r="F6" s="20">
        <f>Skills!F2</f>
        <v>0</v>
      </c>
      <c r="G6" s="20">
        <f>Skills!G2</f>
        <v>0</v>
      </c>
      <c r="H6" s="20">
        <f>Skills!H2</f>
        <v>0</v>
      </c>
      <c r="I6" s="20">
        <f>Skills!I2</f>
        <v>0</v>
      </c>
      <c r="J6" s="20">
        <f>Skills!J2</f>
        <v>0</v>
      </c>
      <c r="K6" s="20">
        <f>Skills!K2</f>
        <v>0</v>
      </c>
      <c r="L6" s="20">
        <f>Skills!L2</f>
        <v>0</v>
      </c>
      <c r="M6" s="20">
        <f>Skills!M2</f>
        <v>0</v>
      </c>
      <c r="N6" s="20">
        <f>Skills!N2</f>
        <v>0</v>
      </c>
      <c r="O6" s="20">
        <f>Skills!O2</f>
        <v>0</v>
      </c>
    </row>
    <row r="7" spans="1:15" x14ac:dyDescent="0.25">
      <c r="A7" s="14" t="str">
        <f>Skills!A3</f>
        <v>Karl</v>
      </c>
      <c r="B7" s="20">
        <f>Skills!B3</f>
        <v>0</v>
      </c>
      <c r="C7" s="20">
        <f>Skills!C3</f>
        <v>0</v>
      </c>
      <c r="D7" s="20">
        <f>Skills!D3</f>
        <v>0</v>
      </c>
      <c r="E7" s="20">
        <f>Skills!E3</f>
        <v>0</v>
      </c>
      <c r="F7" s="20">
        <f>Skills!F3</f>
        <v>0</v>
      </c>
      <c r="G7" s="20">
        <f>Skills!G3</f>
        <v>0</v>
      </c>
      <c r="H7" s="20">
        <f>Skills!H3</f>
        <v>0</v>
      </c>
      <c r="I7" s="20">
        <f>Skills!I3</f>
        <v>0</v>
      </c>
      <c r="J7" s="20">
        <f>Skills!J3</f>
        <v>0</v>
      </c>
      <c r="K7" s="20">
        <f>Skills!K3</f>
        <v>0</v>
      </c>
      <c r="L7" s="20">
        <f>Skills!L3</f>
        <v>0</v>
      </c>
      <c r="M7" s="20">
        <f>Skills!M3</f>
        <v>0</v>
      </c>
      <c r="N7" s="20">
        <f>Skills!N3</f>
        <v>0</v>
      </c>
      <c r="O7" s="20">
        <f>Skills!O3</f>
        <v>0</v>
      </c>
    </row>
    <row r="8" spans="1:15" x14ac:dyDescent="0.25">
      <c r="A8" s="14" t="str">
        <f>Skills!A4</f>
        <v>Brian</v>
      </c>
      <c r="B8" s="20">
        <f>Skills!B4</f>
        <v>0</v>
      </c>
      <c r="C8" s="20">
        <f>Skills!C4</f>
        <v>0</v>
      </c>
      <c r="D8" s="20">
        <f>Skills!D4</f>
        <v>0</v>
      </c>
      <c r="E8" s="20">
        <f>Skills!E4</f>
        <v>0</v>
      </c>
      <c r="F8" s="20">
        <f>Skills!F4</f>
        <v>0</v>
      </c>
      <c r="G8" s="20">
        <f>Skills!G4</f>
        <v>0</v>
      </c>
      <c r="H8" s="20">
        <f>Skills!H4</f>
        <v>0</v>
      </c>
      <c r="I8" s="20">
        <f>Skills!I4</f>
        <v>0</v>
      </c>
      <c r="J8" s="20">
        <f>Skills!J4</f>
        <v>0</v>
      </c>
      <c r="K8" s="20">
        <f>Skills!K4</f>
        <v>0</v>
      </c>
      <c r="L8" s="20">
        <f>Skills!L4</f>
        <v>0</v>
      </c>
      <c r="M8" s="20">
        <f>Skills!M4</f>
        <v>0</v>
      </c>
      <c r="N8" s="20">
        <f>Skills!N4</f>
        <v>0</v>
      </c>
      <c r="O8" s="20">
        <f>Skills!O4</f>
        <v>0</v>
      </c>
    </row>
    <row r="9" spans="1:15" x14ac:dyDescent="0.25">
      <c r="A9" s="14" t="str">
        <f>Skills!A5</f>
        <v>Hannah</v>
      </c>
      <c r="B9" s="20">
        <f>Skills!B5</f>
        <v>0</v>
      </c>
      <c r="C9" s="20">
        <f>Skills!C5</f>
        <v>0</v>
      </c>
      <c r="D9" s="20">
        <f>Skills!D5</f>
        <v>0</v>
      </c>
      <c r="E9" s="20">
        <f>Skills!E5</f>
        <v>0</v>
      </c>
      <c r="F9" s="20">
        <f>Skills!F5</f>
        <v>0</v>
      </c>
      <c r="G9" s="20">
        <f>Skills!G5</f>
        <v>0</v>
      </c>
      <c r="H9" s="20">
        <f>Skills!H5</f>
        <v>0</v>
      </c>
      <c r="I9" s="20">
        <f>Skills!I5</f>
        <v>0</v>
      </c>
      <c r="J9" s="20">
        <f>Skills!J5</f>
        <v>0</v>
      </c>
      <c r="K9" s="20">
        <f>Skills!K5</f>
        <v>0</v>
      </c>
      <c r="L9" s="20">
        <f>Skills!L5</f>
        <v>0</v>
      </c>
      <c r="M9" s="20">
        <f>Skills!M5</f>
        <v>0</v>
      </c>
      <c r="N9" s="20">
        <f>Skills!N5</f>
        <v>0</v>
      </c>
      <c r="O9" s="20">
        <f>Skills!O5</f>
        <v>0</v>
      </c>
    </row>
    <row r="10" spans="1:15" x14ac:dyDescent="0.25">
      <c r="A10" s="14" t="str">
        <f>Skills!A6</f>
        <v>Marcelo</v>
      </c>
      <c r="B10" s="20">
        <f>Skills!B6</f>
        <v>0</v>
      </c>
      <c r="C10" s="20">
        <f>Skills!C6</f>
        <v>0</v>
      </c>
      <c r="D10" s="20">
        <f>Skills!D6</f>
        <v>0</v>
      </c>
      <c r="E10" s="20">
        <f>Skills!E6</f>
        <v>0</v>
      </c>
      <c r="F10" s="20">
        <f>Skills!F6</f>
        <v>0</v>
      </c>
      <c r="G10" s="20">
        <f>Skills!G6</f>
        <v>0</v>
      </c>
      <c r="H10" s="20">
        <f>Skills!H6</f>
        <v>0</v>
      </c>
      <c r="I10" s="20">
        <f>Skills!I6</f>
        <v>0</v>
      </c>
      <c r="J10" s="20">
        <f>Skills!J6</f>
        <v>0</v>
      </c>
      <c r="K10" s="20">
        <f>Skills!K6</f>
        <v>0</v>
      </c>
      <c r="L10" s="20">
        <f>Skills!L6</f>
        <v>0</v>
      </c>
      <c r="M10" s="20">
        <f>Skills!M6</f>
        <v>0</v>
      </c>
      <c r="N10" s="20">
        <f>Skills!N6</f>
        <v>0</v>
      </c>
      <c r="O10" s="20">
        <f>Skills!O6</f>
        <v>0</v>
      </c>
    </row>
    <row r="11" spans="1:15" x14ac:dyDescent="0.25">
      <c r="A11" s="14" t="str">
        <f>Skills!A7</f>
        <v>Justin</v>
      </c>
      <c r="B11" s="20">
        <f>Skills!B7</f>
        <v>0</v>
      </c>
      <c r="C11" s="20">
        <f>Skills!C7</f>
        <v>0</v>
      </c>
      <c r="D11" s="20">
        <f>Skills!D7</f>
        <v>0</v>
      </c>
      <c r="E11" s="20">
        <f>Skills!E7</f>
        <v>0</v>
      </c>
      <c r="F11" s="20">
        <f>Skills!F7</f>
        <v>0</v>
      </c>
      <c r="G11" s="20">
        <f>Skills!G7</f>
        <v>0</v>
      </c>
      <c r="H11" s="20">
        <f>Skills!H7</f>
        <v>0</v>
      </c>
      <c r="I11" s="20">
        <f>Skills!I7</f>
        <v>0</v>
      </c>
      <c r="J11" s="20">
        <f>Skills!J7</f>
        <v>0</v>
      </c>
      <c r="K11" s="20">
        <f>Skills!K7</f>
        <v>0</v>
      </c>
      <c r="L11" s="20">
        <f>Skills!L7</f>
        <v>0</v>
      </c>
      <c r="M11" s="20">
        <f>Skills!M7</f>
        <v>0</v>
      </c>
      <c r="N11" s="20">
        <f>Skills!N7</f>
        <v>0</v>
      </c>
      <c r="O11" s="20">
        <f>Skills!O7</f>
        <v>0</v>
      </c>
    </row>
    <row r="12" spans="1:15" x14ac:dyDescent="0.25">
      <c r="A12" s="14" t="str">
        <f>Skills!A8</f>
        <v>Aaron</v>
      </c>
      <c r="B12" s="20">
        <f>Skills!B8</f>
        <v>0</v>
      </c>
      <c r="C12" s="20">
        <f>Skills!C8</f>
        <v>0</v>
      </c>
      <c r="D12" s="20">
        <f>Skills!D8</f>
        <v>0</v>
      </c>
      <c r="E12" s="20">
        <f>Skills!E8</f>
        <v>0</v>
      </c>
      <c r="F12" s="20">
        <f>Skills!F8</f>
        <v>0</v>
      </c>
      <c r="G12" s="20">
        <f>Skills!G8</f>
        <v>0</v>
      </c>
      <c r="H12" s="20">
        <f>Skills!H8</f>
        <v>0</v>
      </c>
      <c r="I12" s="20">
        <f>Skills!I8</f>
        <v>0</v>
      </c>
      <c r="J12" s="20">
        <f>Skills!J8</f>
        <v>0</v>
      </c>
      <c r="K12" s="20">
        <f>Skills!K8</f>
        <v>0</v>
      </c>
      <c r="L12" s="20">
        <f>Skills!L8</f>
        <v>0</v>
      </c>
      <c r="M12" s="20">
        <f>Skills!M8</f>
        <v>0</v>
      </c>
      <c r="N12" s="20">
        <f>Skills!N8</f>
        <v>0</v>
      </c>
      <c r="O12" s="20">
        <f>Skills!O8</f>
        <v>0</v>
      </c>
    </row>
    <row r="13" spans="1:15" x14ac:dyDescent="0.25">
      <c r="A13" s="12" t="s">
        <v>181</v>
      </c>
    </row>
    <row r="15" spans="1:15" x14ac:dyDescent="0.25">
      <c r="A15" s="13" t="s">
        <v>93</v>
      </c>
      <c r="B15" s="13" t="s">
        <v>6</v>
      </c>
      <c r="C15" s="13" t="s">
        <v>7</v>
      </c>
      <c r="D15" s="13" t="s">
        <v>8</v>
      </c>
      <c r="E15" s="13" t="s">
        <v>9</v>
      </c>
      <c r="F15" s="13" t="s">
        <v>10</v>
      </c>
      <c r="G15" s="13" t="s">
        <v>11</v>
      </c>
      <c r="H15" s="13" t="s">
        <v>12</v>
      </c>
      <c r="I15" s="13" t="s">
        <v>13</v>
      </c>
      <c r="J15" s="13" t="s">
        <v>14</v>
      </c>
      <c r="K15" s="13" t="s">
        <v>15</v>
      </c>
      <c r="L15" s="13" t="s">
        <v>16</v>
      </c>
      <c r="M15" s="13" t="s">
        <v>17</v>
      </c>
    </row>
    <row r="16" spans="1:15" x14ac:dyDescent="0.25">
      <c r="A16" s="14" t="s">
        <v>95</v>
      </c>
      <c r="B16" s="15">
        <f>IFERROR(SUMIFS(tblPlannedAlloc[PlannedHoursAllocated],tblPlannedAlloc[Engineer],$A16,tblPlannedAlloc[Month],Months!$A$2)/Params!$B$2,0)</f>
        <v>0.9285714285714286</v>
      </c>
      <c r="C16" s="15">
        <f>IFERROR(SUMIFS(tblPlannedAlloc[PlannedHoursAllocated],tblPlannedAlloc[Engineer],$A16,tblPlannedAlloc[Month],Months!$A$3)/Params!$B$2,0)</f>
        <v>0</v>
      </c>
      <c r="D16" s="15">
        <f>IFERROR(SUMIFS(tblPlannedAlloc[PlannedHoursAllocated],tblPlannedAlloc[Engineer],$A16,tblPlannedAlloc[Month],Months!$A$4)/Params!$B$2,0)</f>
        <v>0</v>
      </c>
      <c r="E16" s="15">
        <f>IFERROR(SUMIFS(tblPlannedAlloc[PlannedHoursAllocated],tblPlannedAlloc[Engineer],$A16,tblPlannedAlloc[Month],Months!$A$5)/Params!$B$2,0)</f>
        <v>0</v>
      </c>
      <c r="F16" s="15">
        <f>IFERROR(SUMIFS(tblPlannedAlloc[PlannedHoursAllocated],tblPlannedAlloc[Engineer],$A16,tblPlannedAlloc[Month],Months!$A$6)/Params!$B$2,0)</f>
        <v>0</v>
      </c>
      <c r="G16" s="15">
        <f>IFERROR(SUMIFS(tblPlannedAlloc[PlannedHoursAllocated],tblPlannedAlloc[Engineer],$A16,tblPlannedAlloc[Month],Months!$A$7)/Params!$B$2,0)</f>
        <v>0</v>
      </c>
      <c r="H16" s="15">
        <f>IFERROR(SUMIFS(tblPlannedAlloc[PlannedHoursAllocated],tblPlannedAlloc[Engineer],$A16,tblPlannedAlloc[Month],Months!$A$8)/Params!$B$2,0)</f>
        <v>0</v>
      </c>
      <c r="I16" s="15">
        <f>IFERROR(SUMIFS(tblPlannedAlloc[PlannedHoursAllocated],tblPlannedAlloc[Engineer],$A16,tblPlannedAlloc[Month],Months!$A$9)/Params!$B$2,0)</f>
        <v>0</v>
      </c>
      <c r="J16" s="15">
        <f>IFERROR(SUMIFS(tblPlannedAlloc[PlannedHoursAllocated],tblPlannedAlloc[Engineer],$A16,tblPlannedAlloc[Month],Months!$A$10)/Params!$B$2,0)</f>
        <v>0</v>
      </c>
      <c r="K16" s="15">
        <f>IFERROR(SUMIFS(tblPlannedAlloc[PlannedHoursAllocated],tblPlannedAlloc[Engineer],$A16,tblPlannedAlloc[Month],Months!$A$11)/Params!$B$2,0)</f>
        <v>0</v>
      </c>
      <c r="L16" s="15">
        <f>IFERROR(SUMIFS(tblPlannedAlloc[PlannedHoursAllocated],tblPlannedAlloc[Engineer],$A16,tblPlannedAlloc[Month],Months!$A$12)/Params!$B$2,0)</f>
        <v>0</v>
      </c>
      <c r="M16" s="15">
        <f>IFERROR(SUMIFS(tblPlannedAlloc[PlannedHoursAllocated],tblPlannedAlloc[Engineer],$A16,tblPlannedAlloc[Month],Months!$A$13)/Params!$B$2,0)</f>
        <v>0</v>
      </c>
    </row>
    <row r="17" spans="1:13" x14ac:dyDescent="0.25">
      <c r="A17" s="14" t="s">
        <v>96</v>
      </c>
      <c r="B17" s="15">
        <f>IFERROR(SUMIFS(tblPlannedAlloc[PlannedHoursAllocated],tblPlannedAlloc[Engineer],$A17,tblPlannedAlloc[Month],Months!$A$2)/Params!$B$2,0)</f>
        <v>7.1428571428571425E-2</v>
      </c>
      <c r="C17" s="15">
        <f>IFERROR(SUMIFS(tblPlannedAlloc[PlannedHoursAllocated],tblPlannedAlloc[Engineer],$A17,tblPlannedAlloc[Month],Months!$A$3)/Params!$B$2,0)</f>
        <v>0</v>
      </c>
      <c r="D17" s="15">
        <f>IFERROR(SUMIFS(tblPlannedAlloc[PlannedHoursAllocated],tblPlannedAlloc[Engineer],$A17,tblPlannedAlloc[Month],Months!$A$4)/Params!$B$2,0)</f>
        <v>0</v>
      </c>
      <c r="E17" s="15">
        <f>IFERROR(SUMIFS(tblPlannedAlloc[PlannedHoursAllocated],tblPlannedAlloc[Engineer],$A17,tblPlannedAlloc[Month],Months!$A$5)/Params!$B$2,0)</f>
        <v>0</v>
      </c>
      <c r="F17" s="15">
        <f>IFERROR(SUMIFS(tblPlannedAlloc[PlannedHoursAllocated],tblPlannedAlloc[Engineer],$A17,tblPlannedAlloc[Month],Months!$A$6)/Params!$B$2,0)</f>
        <v>0</v>
      </c>
      <c r="G17" s="15">
        <f>IFERROR(SUMIFS(tblPlannedAlloc[PlannedHoursAllocated],tblPlannedAlloc[Engineer],$A17,tblPlannedAlloc[Month],Months!$A$7)/Params!$B$2,0)</f>
        <v>0</v>
      </c>
      <c r="H17" s="15">
        <f>IFERROR(SUMIFS(tblPlannedAlloc[PlannedHoursAllocated],tblPlannedAlloc[Engineer],$A17,tblPlannedAlloc[Month],Months!$A$8)/Params!$B$2,0)</f>
        <v>0</v>
      </c>
      <c r="I17" s="15">
        <f>IFERROR(SUMIFS(tblPlannedAlloc[PlannedHoursAllocated],tblPlannedAlloc[Engineer],$A17,tblPlannedAlloc[Month],Months!$A$9)/Params!$B$2,0)</f>
        <v>0</v>
      </c>
      <c r="J17" s="15">
        <f>IFERROR(SUMIFS(tblPlannedAlloc[PlannedHoursAllocated],tblPlannedAlloc[Engineer],$A17,tblPlannedAlloc[Month],Months!$A$10)/Params!$B$2,0)</f>
        <v>0</v>
      </c>
      <c r="K17" s="15">
        <f>IFERROR(SUMIFS(tblPlannedAlloc[PlannedHoursAllocated],tblPlannedAlloc[Engineer],$A17,tblPlannedAlloc[Month],Months!$A$11)/Params!$B$2,0)</f>
        <v>0</v>
      </c>
      <c r="L17" s="15">
        <f>IFERROR(SUMIFS(tblPlannedAlloc[PlannedHoursAllocated],tblPlannedAlloc[Engineer],$A17,tblPlannedAlloc[Month],Months!$A$12)/Params!$B$2,0)</f>
        <v>0</v>
      </c>
      <c r="M17" s="15">
        <f>IFERROR(SUMIFS(tblPlannedAlloc[PlannedHoursAllocated],tblPlannedAlloc[Engineer],$A17,tblPlannedAlloc[Month],Months!$A$13)/Params!$B$2,0)</f>
        <v>0</v>
      </c>
    </row>
    <row r="18" spans="1:13" x14ac:dyDescent="0.25">
      <c r="A18" s="14" t="s">
        <v>97</v>
      </c>
      <c r="B18" s="15">
        <f>IFERROR(SUMIFS(tblPlannedAlloc[PlannedHoursAllocated],tblPlannedAlloc[Engineer],$A18,tblPlannedAlloc[Month],Months!$A$2)/Params!$B$2,0)</f>
        <v>0.5</v>
      </c>
      <c r="C18" s="15">
        <f>IFERROR(SUMIFS(tblPlannedAlloc[PlannedHoursAllocated],tblPlannedAlloc[Engineer],$A18,tblPlannedAlloc[Month],Months!$A$3)/Params!$B$2,0)</f>
        <v>0</v>
      </c>
      <c r="D18" s="15">
        <f>IFERROR(SUMIFS(tblPlannedAlloc[PlannedHoursAllocated],tblPlannedAlloc[Engineer],$A18,tblPlannedAlloc[Month],Months!$A$4)/Params!$B$2,0)</f>
        <v>0</v>
      </c>
      <c r="E18" s="15">
        <f>IFERROR(SUMIFS(tblPlannedAlloc[PlannedHoursAllocated],tblPlannedAlloc[Engineer],$A18,tblPlannedAlloc[Month],Months!$A$5)/Params!$B$2,0)</f>
        <v>0</v>
      </c>
      <c r="F18" s="15">
        <f>IFERROR(SUMIFS(tblPlannedAlloc[PlannedHoursAllocated],tblPlannedAlloc[Engineer],$A18,tblPlannedAlloc[Month],Months!$A$6)/Params!$B$2,0)</f>
        <v>0</v>
      </c>
      <c r="G18" s="15">
        <f>IFERROR(SUMIFS(tblPlannedAlloc[PlannedHoursAllocated],tblPlannedAlloc[Engineer],$A18,tblPlannedAlloc[Month],Months!$A$7)/Params!$B$2,0)</f>
        <v>0</v>
      </c>
      <c r="H18" s="15">
        <f>IFERROR(SUMIFS(tblPlannedAlloc[PlannedHoursAllocated],tblPlannedAlloc[Engineer],$A18,tblPlannedAlloc[Month],Months!$A$8)/Params!$B$2,0)</f>
        <v>0</v>
      </c>
      <c r="I18" s="15">
        <f>IFERROR(SUMIFS(tblPlannedAlloc[PlannedHoursAllocated],tblPlannedAlloc[Engineer],$A18,tblPlannedAlloc[Month],Months!$A$9)/Params!$B$2,0)</f>
        <v>0</v>
      </c>
      <c r="J18" s="15">
        <f>IFERROR(SUMIFS(tblPlannedAlloc[PlannedHoursAllocated],tblPlannedAlloc[Engineer],$A18,tblPlannedAlloc[Month],Months!$A$10)/Params!$B$2,0)</f>
        <v>0</v>
      </c>
      <c r="K18" s="15">
        <f>IFERROR(SUMIFS(tblPlannedAlloc[PlannedHoursAllocated],tblPlannedAlloc[Engineer],$A18,tblPlannedAlloc[Month],Months!$A$11)/Params!$B$2,0)</f>
        <v>0</v>
      </c>
      <c r="L18" s="15">
        <f>IFERROR(SUMIFS(tblPlannedAlloc[PlannedHoursAllocated],tblPlannedAlloc[Engineer],$A18,tblPlannedAlloc[Month],Months!$A$12)/Params!$B$2,0)</f>
        <v>0</v>
      </c>
      <c r="M18" s="15">
        <f>IFERROR(SUMIFS(tblPlannedAlloc[PlannedHoursAllocated],tblPlannedAlloc[Engineer],$A18,tblPlannedAlloc[Month],Months!$A$13)/Params!$B$2,0)</f>
        <v>0</v>
      </c>
    </row>
    <row r="19" spans="1:13" x14ac:dyDescent="0.25">
      <c r="A19" s="14" t="s">
        <v>98</v>
      </c>
      <c r="B19" s="15">
        <f>IFERROR(SUMIFS(tblPlannedAlloc[PlannedHoursAllocated],tblPlannedAlloc[Engineer],$A19,tblPlannedAlloc[Month],Months!$A$2)/Params!$B$2,0)</f>
        <v>0.8571428571428571</v>
      </c>
      <c r="C19" s="15">
        <f>IFERROR(SUMIFS(tblPlannedAlloc[PlannedHoursAllocated],tblPlannedAlloc[Engineer],$A19,tblPlannedAlloc[Month],Months!$A$3)/Params!$B$2,0)</f>
        <v>0</v>
      </c>
      <c r="D19" s="15">
        <f>IFERROR(SUMIFS(tblPlannedAlloc[PlannedHoursAllocated],tblPlannedAlloc[Engineer],$A19,tblPlannedAlloc[Month],Months!$A$4)/Params!$B$2,0)</f>
        <v>0</v>
      </c>
      <c r="E19" s="15">
        <f>IFERROR(SUMIFS(tblPlannedAlloc[PlannedHoursAllocated],tblPlannedAlloc[Engineer],$A19,tblPlannedAlloc[Month],Months!$A$5)/Params!$B$2,0)</f>
        <v>0</v>
      </c>
      <c r="F19" s="15">
        <f>IFERROR(SUMIFS(tblPlannedAlloc[PlannedHoursAllocated],tblPlannedAlloc[Engineer],$A19,tblPlannedAlloc[Month],Months!$A$6)/Params!$B$2,0)</f>
        <v>0</v>
      </c>
      <c r="G19" s="15">
        <f>IFERROR(SUMIFS(tblPlannedAlloc[PlannedHoursAllocated],tblPlannedAlloc[Engineer],$A19,tblPlannedAlloc[Month],Months!$A$7)/Params!$B$2,0)</f>
        <v>0</v>
      </c>
      <c r="H19" s="15">
        <f>IFERROR(SUMIFS(tblPlannedAlloc[PlannedHoursAllocated],tblPlannedAlloc[Engineer],$A19,tblPlannedAlloc[Month],Months!$A$8)/Params!$B$2,0)</f>
        <v>0</v>
      </c>
      <c r="I19" s="15">
        <f>IFERROR(SUMIFS(tblPlannedAlloc[PlannedHoursAllocated],tblPlannedAlloc[Engineer],$A19,tblPlannedAlloc[Month],Months!$A$9)/Params!$B$2,0)</f>
        <v>0</v>
      </c>
      <c r="J19" s="15">
        <f>IFERROR(SUMIFS(tblPlannedAlloc[PlannedHoursAllocated],tblPlannedAlloc[Engineer],$A19,tblPlannedAlloc[Month],Months!$A$10)/Params!$B$2,0)</f>
        <v>0</v>
      </c>
      <c r="K19" s="15">
        <f>IFERROR(SUMIFS(tblPlannedAlloc[PlannedHoursAllocated],tblPlannedAlloc[Engineer],$A19,tblPlannedAlloc[Month],Months!$A$11)/Params!$B$2,0)</f>
        <v>0</v>
      </c>
      <c r="L19" s="15">
        <f>IFERROR(SUMIFS(tblPlannedAlloc[PlannedHoursAllocated],tblPlannedAlloc[Engineer],$A19,tblPlannedAlloc[Month],Months!$A$12)/Params!$B$2,0)</f>
        <v>0</v>
      </c>
      <c r="M19" s="15">
        <f>IFERROR(SUMIFS(tblPlannedAlloc[PlannedHoursAllocated],tblPlannedAlloc[Engineer],$A19,tblPlannedAlloc[Month],Months!$A$13)/Params!$B$2,0)</f>
        <v>0</v>
      </c>
    </row>
    <row r="20" spans="1:13" x14ac:dyDescent="0.25">
      <c r="A20" s="14" t="s">
        <v>99</v>
      </c>
      <c r="B20" s="15">
        <f>IFERROR(SUMIFS(tblPlannedAlloc[PlannedHoursAllocated],tblPlannedAlloc[Engineer],$A20,tblPlannedAlloc[Month],Months!$A$2)/Params!$B$2,0)</f>
        <v>1.0714285714285714</v>
      </c>
      <c r="C20" s="15">
        <f>IFERROR(SUMIFS(tblPlannedAlloc[PlannedHoursAllocated],tblPlannedAlloc[Engineer],$A20,tblPlannedAlloc[Month],Months!$A$3)/Params!$B$2,0)</f>
        <v>0</v>
      </c>
      <c r="D20" s="15">
        <f>IFERROR(SUMIFS(tblPlannedAlloc[PlannedHoursAllocated],tblPlannedAlloc[Engineer],$A20,tblPlannedAlloc[Month],Months!$A$4)/Params!$B$2,0)</f>
        <v>0</v>
      </c>
      <c r="E20" s="15">
        <f>IFERROR(SUMIFS(tblPlannedAlloc[PlannedHoursAllocated],tblPlannedAlloc[Engineer],$A20,tblPlannedAlloc[Month],Months!$A$5)/Params!$B$2,0)</f>
        <v>0</v>
      </c>
      <c r="F20" s="15">
        <f>IFERROR(SUMIFS(tblPlannedAlloc[PlannedHoursAllocated],tblPlannedAlloc[Engineer],$A20,tblPlannedAlloc[Month],Months!$A$6)/Params!$B$2,0)</f>
        <v>0</v>
      </c>
      <c r="G20" s="15">
        <f>IFERROR(SUMIFS(tblPlannedAlloc[PlannedHoursAllocated],tblPlannedAlloc[Engineer],$A20,tblPlannedAlloc[Month],Months!$A$7)/Params!$B$2,0)</f>
        <v>0</v>
      </c>
      <c r="H20" s="15">
        <f>IFERROR(SUMIFS(tblPlannedAlloc[PlannedHoursAllocated],tblPlannedAlloc[Engineer],$A20,tblPlannedAlloc[Month],Months!$A$8)/Params!$B$2,0)</f>
        <v>0</v>
      </c>
      <c r="I20" s="15">
        <f>IFERROR(SUMIFS(tblPlannedAlloc[PlannedHoursAllocated],tblPlannedAlloc[Engineer],$A20,tblPlannedAlloc[Month],Months!$A$9)/Params!$B$2,0)</f>
        <v>0</v>
      </c>
      <c r="J20" s="15">
        <f>IFERROR(SUMIFS(tblPlannedAlloc[PlannedHoursAllocated],tblPlannedAlloc[Engineer],$A20,tblPlannedAlloc[Month],Months!$A$10)/Params!$B$2,0)</f>
        <v>0</v>
      </c>
      <c r="K20" s="15">
        <f>IFERROR(SUMIFS(tblPlannedAlloc[PlannedHoursAllocated],tblPlannedAlloc[Engineer],$A20,tblPlannedAlloc[Month],Months!$A$11)/Params!$B$2,0)</f>
        <v>0</v>
      </c>
      <c r="L20" s="15">
        <f>IFERROR(SUMIFS(tblPlannedAlloc[PlannedHoursAllocated],tblPlannedAlloc[Engineer],$A20,tblPlannedAlloc[Month],Months!$A$12)/Params!$B$2,0)</f>
        <v>0</v>
      </c>
      <c r="M20" s="15">
        <f>IFERROR(SUMIFS(tblPlannedAlloc[PlannedHoursAllocated],tblPlannedAlloc[Engineer],$A20,tblPlannedAlloc[Month],Months!$A$13)/Params!$B$2,0)</f>
        <v>0</v>
      </c>
    </row>
    <row r="21" spans="1:13" x14ac:dyDescent="0.25">
      <c r="A21" s="14" t="s">
        <v>100</v>
      </c>
      <c r="B21" s="15">
        <f>IFERROR(SUMIFS(tblPlannedAlloc[PlannedHoursAllocated],tblPlannedAlloc[Engineer],$A21,tblPlannedAlloc[Month],Months!$A$2)/Params!$B$2,0)</f>
        <v>0.9285714285714286</v>
      </c>
      <c r="C21" s="15">
        <f>IFERROR(SUMIFS(tblPlannedAlloc[PlannedHoursAllocated],tblPlannedAlloc[Engineer],$A21,tblPlannedAlloc[Month],Months!$A$3)/Params!$B$2,0)</f>
        <v>0</v>
      </c>
      <c r="D21" s="15">
        <f>IFERROR(SUMIFS(tblPlannedAlloc[PlannedHoursAllocated],tblPlannedAlloc[Engineer],$A21,tblPlannedAlloc[Month],Months!$A$4)/Params!$B$2,0)</f>
        <v>0</v>
      </c>
      <c r="E21" s="15">
        <f>IFERROR(SUMIFS(tblPlannedAlloc[PlannedHoursAllocated],tblPlannedAlloc[Engineer],$A21,tblPlannedAlloc[Month],Months!$A$5)/Params!$B$2,0)</f>
        <v>0</v>
      </c>
      <c r="F21" s="15">
        <f>IFERROR(SUMIFS(tblPlannedAlloc[PlannedHoursAllocated],tblPlannedAlloc[Engineer],$A21,tblPlannedAlloc[Month],Months!$A$6)/Params!$B$2,0)</f>
        <v>0</v>
      </c>
      <c r="G21" s="15">
        <f>IFERROR(SUMIFS(tblPlannedAlloc[PlannedHoursAllocated],tblPlannedAlloc[Engineer],$A21,tblPlannedAlloc[Month],Months!$A$7)/Params!$B$2,0)</f>
        <v>0</v>
      </c>
      <c r="H21" s="15">
        <f>IFERROR(SUMIFS(tblPlannedAlloc[PlannedHoursAllocated],tblPlannedAlloc[Engineer],$A21,tblPlannedAlloc[Month],Months!$A$8)/Params!$B$2,0)</f>
        <v>0</v>
      </c>
      <c r="I21" s="15">
        <f>IFERROR(SUMIFS(tblPlannedAlloc[PlannedHoursAllocated],tblPlannedAlloc[Engineer],$A21,tblPlannedAlloc[Month],Months!$A$9)/Params!$B$2,0)</f>
        <v>0</v>
      </c>
      <c r="J21" s="15">
        <f>IFERROR(SUMIFS(tblPlannedAlloc[PlannedHoursAllocated],tblPlannedAlloc[Engineer],$A21,tblPlannedAlloc[Month],Months!$A$10)/Params!$B$2,0)</f>
        <v>0</v>
      </c>
      <c r="K21" s="15">
        <f>IFERROR(SUMIFS(tblPlannedAlloc[PlannedHoursAllocated],tblPlannedAlloc[Engineer],$A21,tblPlannedAlloc[Month],Months!$A$11)/Params!$B$2,0)</f>
        <v>0</v>
      </c>
      <c r="L21" s="15">
        <f>IFERROR(SUMIFS(tblPlannedAlloc[PlannedHoursAllocated],tblPlannedAlloc[Engineer],$A21,tblPlannedAlloc[Month],Months!$A$12)/Params!$B$2,0)</f>
        <v>0</v>
      </c>
      <c r="M21" s="15">
        <f>IFERROR(SUMIFS(tblPlannedAlloc[PlannedHoursAllocated],tblPlannedAlloc[Engineer],$A21,tblPlannedAlloc[Month],Months!$A$13)/Params!$B$2,0)</f>
        <v>0</v>
      </c>
    </row>
    <row r="22" spans="1:13" x14ac:dyDescent="0.25">
      <c r="A22" s="14" t="s">
        <v>101</v>
      </c>
      <c r="B22" s="15">
        <f>IFERROR(SUMIFS(tblPlannedAlloc[PlannedHoursAllocated],tblPlannedAlloc[Engineer],$A22,tblPlannedAlloc[Month],Months!$A$2)/Params!$B$2,0)</f>
        <v>0.8571428571428571</v>
      </c>
      <c r="C22" s="15">
        <f>IFERROR(SUMIFS(tblPlannedAlloc[PlannedHoursAllocated],tblPlannedAlloc[Engineer],$A22,tblPlannedAlloc[Month],Months!$A$3)/Params!$B$2,0)</f>
        <v>0</v>
      </c>
      <c r="D22" s="15">
        <f>IFERROR(SUMIFS(tblPlannedAlloc[PlannedHoursAllocated],tblPlannedAlloc[Engineer],$A22,tblPlannedAlloc[Month],Months!$A$4)/Params!$B$2,0)</f>
        <v>0</v>
      </c>
      <c r="E22" s="15">
        <f>IFERROR(SUMIFS(tblPlannedAlloc[PlannedHoursAllocated],tblPlannedAlloc[Engineer],$A22,tblPlannedAlloc[Month],Months!$A$5)/Params!$B$2,0)</f>
        <v>0</v>
      </c>
      <c r="F22" s="15">
        <f>IFERROR(SUMIFS(tblPlannedAlloc[PlannedHoursAllocated],tblPlannedAlloc[Engineer],$A22,tblPlannedAlloc[Month],Months!$A$6)/Params!$B$2,0)</f>
        <v>0</v>
      </c>
      <c r="G22" s="15">
        <f>IFERROR(SUMIFS(tblPlannedAlloc[PlannedHoursAllocated],tblPlannedAlloc[Engineer],$A22,tblPlannedAlloc[Month],Months!$A$7)/Params!$B$2,0)</f>
        <v>0</v>
      </c>
      <c r="H22" s="15">
        <f>IFERROR(SUMIFS(tblPlannedAlloc[PlannedHoursAllocated],tblPlannedAlloc[Engineer],$A22,tblPlannedAlloc[Month],Months!$A$8)/Params!$B$2,0)</f>
        <v>0</v>
      </c>
      <c r="I22" s="15">
        <f>IFERROR(SUMIFS(tblPlannedAlloc[PlannedHoursAllocated],tblPlannedAlloc[Engineer],$A22,tblPlannedAlloc[Month],Months!$A$9)/Params!$B$2,0)</f>
        <v>0</v>
      </c>
      <c r="J22" s="15">
        <f>IFERROR(SUMIFS(tblPlannedAlloc[PlannedHoursAllocated],tblPlannedAlloc[Engineer],$A22,tblPlannedAlloc[Month],Months!$A$10)/Params!$B$2,0)</f>
        <v>0</v>
      </c>
      <c r="K22" s="15">
        <f>IFERROR(SUMIFS(tblPlannedAlloc[PlannedHoursAllocated],tblPlannedAlloc[Engineer],$A22,tblPlannedAlloc[Month],Months!$A$11)/Params!$B$2,0)</f>
        <v>0</v>
      </c>
      <c r="L22" s="15">
        <f>IFERROR(SUMIFS(tblPlannedAlloc[PlannedHoursAllocated],tblPlannedAlloc[Engineer],$A22,tblPlannedAlloc[Month],Months!$A$12)/Params!$B$2,0)</f>
        <v>0</v>
      </c>
      <c r="M22" s="15">
        <f>IFERROR(SUMIFS(tblPlannedAlloc[PlannedHoursAllocated],tblPlannedAlloc[Engineer],$A22,tblPlannedAlloc[Month],Months!$A$13)/Params!$B$2,0)</f>
        <v>0</v>
      </c>
    </row>
    <row r="49" spans="1:5" x14ac:dyDescent="0.25">
      <c r="A49" s="16" t="s">
        <v>182</v>
      </c>
    </row>
    <row r="51" spans="1:5" x14ac:dyDescent="0.25">
      <c r="A51" s="17" t="s">
        <v>183</v>
      </c>
      <c r="B51" s="17" t="s">
        <v>116</v>
      </c>
      <c r="C51" s="17" t="s">
        <v>117</v>
      </c>
      <c r="D51" s="17" t="s">
        <v>118</v>
      </c>
      <c r="E51" s="17" t="s">
        <v>119</v>
      </c>
    </row>
    <row r="52" spans="1:5" x14ac:dyDescent="0.25">
      <c r="A52" s="14" t="s">
        <v>22</v>
      </c>
      <c r="B52" s="18" t="e">
        <f>IF(Milestones!B2="",NA(),Milestones!B2)</f>
        <v>#N/A</v>
      </c>
      <c r="C52" s="18" t="e">
        <f>IF(Milestones!C2="",NA(),Milestones!C2)</f>
        <v>#N/A</v>
      </c>
      <c r="D52" s="18" t="e">
        <f>IF(Milestones!D2="",NA(),Milestones!D2)</f>
        <v>#N/A</v>
      </c>
      <c r="E52" s="18" t="e">
        <f>IF(Milestones!E2="",NA(),Milestones!E2)</f>
        <v>#N/A</v>
      </c>
    </row>
    <row r="53" spans="1:5" x14ac:dyDescent="0.25">
      <c r="A53" s="14" t="s">
        <v>26</v>
      </c>
      <c r="B53" s="18" t="e">
        <f>IF(Milestones!B3="",NA(),Milestones!B3)</f>
        <v>#N/A</v>
      </c>
      <c r="C53" s="18" t="e">
        <f>IF(Milestones!C3="",NA(),Milestones!C3)</f>
        <v>#N/A</v>
      </c>
      <c r="D53" s="18" t="e">
        <f>IF(Milestones!D3="",NA(),Milestones!D3)</f>
        <v>#N/A</v>
      </c>
      <c r="E53" s="18" t="e">
        <f>IF(Milestones!E3="",NA(),Milestones!E3)</f>
        <v>#N/A</v>
      </c>
    </row>
    <row r="54" spans="1:5" x14ac:dyDescent="0.25">
      <c r="A54" s="14" t="s">
        <v>28</v>
      </c>
      <c r="B54" s="18" t="e">
        <f>IF(Milestones!B4="",NA(),Milestones!B4)</f>
        <v>#N/A</v>
      </c>
      <c r="C54" s="18" t="e">
        <f>IF(Milestones!C4="",NA(),Milestones!C4)</f>
        <v>#N/A</v>
      </c>
      <c r="D54" s="18" t="e">
        <f>IF(Milestones!D4="",NA(),Milestones!D4)</f>
        <v>#N/A</v>
      </c>
      <c r="E54" s="18" t="e">
        <f>IF(Milestones!E4="",NA(),Milestones!E4)</f>
        <v>#N/A</v>
      </c>
    </row>
    <row r="55" spans="1:5" x14ac:dyDescent="0.25">
      <c r="A55" s="14" t="s">
        <v>30</v>
      </c>
      <c r="B55" s="18" t="e">
        <f>IF(Milestones!B5="",NA(),Milestones!B5)</f>
        <v>#N/A</v>
      </c>
      <c r="C55" s="18" t="e">
        <f>IF(Milestones!C5="",NA(),Milestones!C5)</f>
        <v>#N/A</v>
      </c>
      <c r="D55" s="18" t="e">
        <f>IF(Milestones!D5="",NA(),Milestones!D5)</f>
        <v>#N/A</v>
      </c>
      <c r="E55" s="18" t="e">
        <f>IF(Milestones!E5="",NA(),Milestones!E5)</f>
        <v>#N/A</v>
      </c>
    </row>
    <row r="56" spans="1:5" x14ac:dyDescent="0.25">
      <c r="A56" s="14" t="s">
        <v>32</v>
      </c>
      <c r="B56" s="18" t="e">
        <f>IF(Milestones!B6="",NA(),Milestones!B6)</f>
        <v>#N/A</v>
      </c>
      <c r="C56" s="18" t="e">
        <f>IF(Milestones!C6="",NA(),Milestones!C6)</f>
        <v>#N/A</v>
      </c>
      <c r="D56" s="18" t="e">
        <f>IF(Milestones!D6="",NA(),Milestones!D6)</f>
        <v>#N/A</v>
      </c>
      <c r="E56" s="18" t="e">
        <f>IF(Milestones!E6="",NA(),Milestones!E6)</f>
        <v>#N/A</v>
      </c>
    </row>
    <row r="57" spans="1:5" x14ac:dyDescent="0.25">
      <c r="A57" s="14" t="s">
        <v>34</v>
      </c>
      <c r="B57" s="18" t="e">
        <f>IF(Milestones!B7="",NA(),Milestones!B7)</f>
        <v>#N/A</v>
      </c>
      <c r="C57" s="18" t="e">
        <f>IF(Milestones!C7="",NA(),Milestones!C7)</f>
        <v>#N/A</v>
      </c>
      <c r="D57" s="18" t="e">
        <f>IF(Milestones!D7="",NA(),Milestones!D7)</f>
        <v>#N/A</v>
      </c>
      <c r="E57" s="18" t="e">
        <f>IF(Milestones!E7="",NA(),Milestones!E7)</f>
        <v>#N/A</v>
      </c>
    </row>
    <row r="58" spans="1:5" x14ac:dyDescent="0.25">
      <c r="A58" s="14" t="s">
        <v>36</v>
      </c>
      <c r="B58" s="18" t="e">
        <f>IF(Milestones!B8="",NA(),Milestones!B8)</f>
        <v>#N/A</v>
      </c>
      <c r="C58" s="18" t="e">
        <f>IF(Milestones!C8="",NA(),Milestones!C8)</f>
        <v>#N/A</v>
      </c>
      <c r="D58" s="18" t="e">
        <f>IF(Milestones!D8="",NA(),Milestones!D8)</f>
        <v>#N/A</v>
      </c>
      <c r="E58" s="18" t="e">
        <f>IF(Milestones!E8="",NA(),Milestones!E8)</f>
        <v>#N/A</v>
      </c>
    </row>
    <row r="59" spans="1:5" x14ac:dyDescent="0.25">
      <c r="A59" s="14" t="s">
        <v>38</v>
      </c>
      <c r="B59" s="18" t="e">
        <f>IF(Milestones!B9="",NA(),Milestones!B9)</f>
        <v>#N/A</v>
      </c>
      <c r="C59" s="18" t="e">
        <f>IF(Milestones!C9="",NA(),Milestones!C9)</f>
        <v>#N/A</v>
      </c>
      <c r="D59" s="18" t="e">
        <f>IF(Milestones!D9="",NA(),Milestones!D9)</f>
        <v>#N/A</v>
      </c>
      <c r="E59" s="18" t="e">
        <f>IF(Milestones!E9="",NA(),Milestones!E9)</f>
        <v>#N/A</v>
      </c>
    </row>
    <row r="60" spans="1:5" x14ac:dyDescent="0.25">
      <c r="A60" s="14" t="s">
        <v>40</v>
      </c>
      <c r="B60" s="18" t="e">
        <f>IF(Milestones!B10="",NA(),Milestones!B10)</f>
        <v>#N/A</v>
      </c>
      <c r="C60" s="18" t="e">
        <f>IF(Milestones!C10="",NA(),Milestones!C10)</f>
        <v>#N/A</v>
      </c>
      <c r="D60" s="18" t="e">
        <f>IF(Milestones!D10="",NA(),Milestones!D10)</f>
        <v>#N/A</v>
      </c>
      <c r="E60" s="18" t="e">
        <f>IF(Milestones!E10="",NA(),Milestones!E10)</f>
        <v>#N/A</v>
      </c>
    </row>
    <row r="61" spans="1:5" x14ac:dyDescent="0.25">
      <c r="A61" s="14" t="s">
        <v>42</v>
      </c>
      <c r="B61" s="18" t="e">
        <f>IF(Milestones!B11="",NA(),Milestones!B11)</f>
        <v>#N/A</v>
      </c>
      <c r="C61" s="18" t="e">
        <f>IF(Milestones!C11="",NA(),Milestones!C11)</f>
        <v>#N/A</v>
      </c>
      <c r="D61" s="18" t="e">
        <f>IF(Milestones!D11="",NA(),Milestones!D11)</f>
        <v>#N/A</v>
      </c>
      <c r="E61" s="18" t="e">
        <f>IF(Milestones!E11="",NA(),Milestones!E11)</f>
        <v>#N/A</v>
      </c>
    </row>
    <row r="62" spans="1:5" x14ac:dyDescent="0.25">
      <c r="A62" s="14" t="s">
        <v>44</v>
      </c>
      <c r="B62" s="18">
        <f>IF(Milestones!B12="",NA(),Milestones!B12)</f>
        <v>45692</v>
      </c>
      <c r="C62" s="18">
        <f>IF(Milestones!C12="",NA(),Milestones!C12)</f>
        <v>45820</v>
      </c>
      <c r="D62" s="18">
        <f>IF(Milestones!D12="",NA(),Milestones!D12)</f>
        <v>46094</v>
      </c>
      <c r="E62" s="18">
        <f>IF(Milestones!E12="",NA(),Milestones!E12)</f>
        <v>46296</v>
      </c>
    </row>
    <row r="63" spans="1:5" x14ac:dyDescent="0.25">
      <c r="A63" s="14" t="s">
        <v>46</v>
      </c>
      <c r="B63" s="18" t="e">
        <f>IF(Milestones!B13="",NA(),Milestones!B13)</f>
        <v>#N/A</v>
      </c>
      <c r="C63" s="18" t="e">
        <f>IF(Milestones!C13="",NA(),Milestones!C13)</f>
        <v>#N/A</v>
      </c>
      <c r="D63" s="18" t="e">
        <f>IF(Milestones!D13="",NA(),Milestones!D13)</f>
        <v>#N/A</v>
      </c>
      <c r="E63" s="18" t="e">
        <f>IF(Milestones!E13="",NA(),Milestones!E13)</f>
        <v>#N/A</v>
      </c>
    </row>
  </sheetData>
  <conditionalFormatting sqref="B52:E55">
    <cfRule type="colorScale" priority="3">
      <colorScale>
        <cfvo type="num" val="0"/>
        <cfvo type="num" val="2"/>
        <cfvo type="num" val="5"/>
        <color rgb="FFFFFFFF"/>
        <color rgb="FFFFEB84"/>
        <color rgb="FF63BE7B"/>
      </colorScale>
    </cfRule>
  </conditionalFormatting>
  <conditionalFormatting sqref="B52:E63">
    <cfRule type="colorScale" priority="4">
      <colorScale>
        <cfvo type="min"/>
        <cfvo type="percentile" val="50"/>
        <cfvo type="max"/>
        <color rgb="FFD9E1F2"/>
        <color rgb="FFFFF2CC"/>
        <color rgb="FFC6E0B4"/>
      </colorScale>
    </cfRule>
  </conditionalFormatting>
  <conditionalFormatting sqref="B6:I12">
    <cfRule type="colorScale" priority="1">
      <colorScale>
        <cfvo type="num" val="0"/>
        <cfvo type="num" val="2.5"/>
        <cfvo type="num" val="5"/>
        <color rgb="FFF8696B"/>
        <color rgb="FFFFEB84"/>
        <color rgb="FF63BE7B"/>
      </colorScale>
    </cfRule>
  </conditionalFormatting>
  <conditionalFormatting sqref="B16:M22">
    <cfRule type="colorScale" priority="2">
      <colorScale>
        <cfvo type="num" val="0.5"/>
        <cfvo type="num" val="1"/>
        <cfvo type="num" val="1.4"/>
        <color rgb="FF63BE7B"/>
        <color rgb="FFFFEB84"/>
        <color rgb="FFF8696B"/>
      </colorScale>
    </cfRule>
  </conditionalFormatting>
  <conditionalFormatting sqref="B6:O12">
    <cfRule type="colorScale" priority="5">
      <colorScale>
        <cfvo type="num" val="0"/>
        <cfvo type="num" val="2.5"/>
        <cfvo type="num" val="5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3ef21d3c-8d10-42d2-a73d-e847df22c988}" enabled="1" method="Standard" siteId="{d2bfb7fe-352c-4886-98a3-044da283af7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Months</vt:lpstr>
      <vt:lpstr>Projects</vt:lpstr>
      <vt:lpstr>Engineers</vt:lpstr>
      <vt:lpstr>Skills</vt:lpstr>
      <vt:lpstr>Milestones</vt:lpstr>
      <vt:lpstr>Planned_ProjectMonth</vt:lpstr>
      <vt:lpstr>Planned_Allocations</vt:lpstr>
      <vt:lpstr>Actual_Hours</vt:lpstr>
      <vt:lpstr>Lab_Tech_Hours</vt:lpstr>
      <vt:lpstr>Params</vt:lpstr>
      <vt:lpstr>Calc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Sloan</cp:lastModifiedBy>
  <dcterms:created xsi:type="dcterms:W3CDTF">2026-02-16T14:31:50Z</dcterms:created>
  <dcterms:modified xsi:type="dcterms:W3CDTF">2026-02-16T17:39:41Z</dcterms:modified>
</cp:coreProperties>
</file>